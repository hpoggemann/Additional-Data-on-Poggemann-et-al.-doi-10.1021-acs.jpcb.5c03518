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uelist CviUPO" sheetId="1" r:id="rId4"/>
    <sheet state="visible" name="SASA_300K" sheetId="2" r:id="rId5"/>
    <sheet state="visible" name="SASA_400K" sheetId="3" r:id="rId6"/>
    <sheet state="visible" name="SASA_500K" sheetId="4" r:id="rId7"/>
    <sheet state="visible" name="SASA_MD" sheetId="5" r:id="rId8"/>
    <sheet state="visible" name="Conc_MD_300K" sheetId="6" r:id="rId9"/>
    <sheet state="visible" name="Conc_MD_400K" sheetId="7" r:id="rId10"/>
    <sheet state="visible" name="Conc_MD_500K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OOH pushed N (lys) away binds to C
	-Nacht Falter</t>
      </text>
    </comment>
  </commentList>
</comments>
</file>

<file path=xl/sharedStrings.xml><?xml version="1.0" encoding="utf-8"?>
<sst xmlns="http://schemas.openxmlformats.org/spreadsheetml/2006/main" count="1950" uniqueCount="91">
  <si>
    <t>Residue</t>
  </si>
  <si>
    <t>Amount</t>
  </si>
  <si>
    <t>LEU</t>
  </si>
  <si>
    <t>ALA</t>
  </si>
  <si>
    <t>GLU</t>
  </si>
  <si>
    <t>PHE</t>
  </si>
  <si>
    <t>THR</t>
  </si>
  <si>
    <t>LYS</t>
  </si>
  <si>
    <t>PRO</t>
  </si>
  <si>
    <t>SER</t>
  </si>
  <si>
    <t>ARG</t>
  </si>
  <si>
    <t>VAL</t>
  </si>
  <si>
    <t>ASP</t>
  </si>
  <si>
    <t>GLY</t>
  </si>
  <si>
    <t>ILE</t>
  </si>
  <si>
    <t>GLN</t>
  </si>
  <si>
    <t>TYR</t>
  </si>
  <si>
    <t>ASN</t>
  </si>
  <si>
    <t>MET</t>
  </si>
  <si>
    <t>HISH</t>
  </si>
  <si>
    <t>TRP</t>
  </si>
  <si>
    <t>CYM</t>
  </si>
  <si>
    <t>CYS</t>
  </si>
  <si>
    <t>HEM</t>
  </si>
  <si>
    <t>HISD</t>
  </si>
  <si>
    <t>HISE</t>
  </si>
  <si>
    <t>MG</t>
  </si>
  <si>
    <t>SASA Results</t>
  </si>
  <si>
    <t>Low energy positions are in the active pocket</t>
  </si>
  <si>
    <t>*active pocket was defined as the SASA points in a range of 8 Angström around the reactive atoms in the center (Fe)</t>
  </si>
  <si>
    <t xml:space="preserve">The 30 positions with the lowest interaction energies, images and details can be fount in 00_SASA </t>
  </si>
  <si>
    <t>H</t>
  </si>
  <si>
    <t>H2O2</t>
  </si>
  <si>
    <t>NO</t>
  </si>
  <si>
    <t>O</t>
  </si>
  <si>
    <t>O2</t>
  </si>
  <si>
    <t>OH</t>
  </si>
  <si>
    <t>x</t>
  </si>
  <si>
    <t>y</t>
  </si>
  <si>
    <t>z</t>
  </si>
  <si>
    <t>Res</t>
  </si>
  <si>
    <t>E_int / eV</t>
  </si>
  <si>
    <t>[ 3.8 -1.7  5.4] LYS</t>
  </si>
  <si>
    <t>[8.8 0.3 4. ] LYS</t>
  </si>
  <si>
    <t>[-2.   3.   2.5] GLU</t>
  </si>
  <si>
    <t>[-0.3 -4.2 -2.9] HEM</t>
  </si>
  <si>
    <t>[ 6.8 -2.2  6.5] ILE</t>
  </si>
  <si>
    <t>Input positions for SASA MDs</t>
  </si>
  <si>
    <t>[2.7 7.2 2.5] THR</t>
  </si>
  <si>
    <t>[ 6.   3.4 -2.3] LYS</t>
  </si>
  <si>
    <t>[0.8 2.7 4.4] HEM</t>
  </si>
  <si>
    <t>[3.6 7.8 2.3] GLN</t>
  </si>
  <si>
    <t>[1.  3.1 4.4] PHE</t>
  </si>
  <si>
    <t>[5.6 0.4 2. ] LYS</t>
  </si>
  <si>
    <t>[ 6.9 -0.2  1.2] ILE</t>
  </si>
  <si>
    <t>[ 2.7 -0.7  5.8] HISH</t>
  </si>
  <si>
    <t>[ 2.  -0.3 -0.1] GLU</t>
  </si>
  <si>
    <t>[ 4.6 -4.  -7.3] HEM</t>
  </si>
  <si>
    <t>[ 2.4 -9.3  0.9] MET</t>
  </si>
  <si>
    <t>[ 3.  -0.7  4. ]</t>
  </si>
  <si>
    <t>REMARK: For 500K no real active pocket exists anymore, since the protein has already collaped doe to the heat</t>
  </si>
  <si>
    <t>[ 3.  -0.7  4. ] HEM</t>
  </si>
  <si>
    <t>First EM then short MDs (75 fs) of ten strongest interacting positions from SASA, to check if really a bond forms</t>
  </si>
  <si>
    <t>* Only bonds to the enzyme where counted all bonds to solvent molecules were ignored</t>
  </si>
  <si>
    <t>300 K</t>
  </si>
  <si>
    <t>VACUUM</t>
  </si>
  <si>
    <t>Atom Type</t>
  </si>
  <si>
    <t>-</t>
  </si>
  <si>
    <t>SOLVENT</t>
  </si>
  <si>
    <t>C</t>
  </si>
  <si>
    <t>400 K</t>
  </si>
  <si>
    <t>THR, ARG</t>
  </si>
  <si>
    <t>500 K</t>
  </si>
  <si>
    <t>Mg</t>
  </si>
  <si>
    <t>GLU, GLU</t>
  </si>
  <si>
    <t>Atom specific interactions</t>
  </si>
  <si>
    <t>3 runs with different random orientation of 100 plasma species, these are the total interaction numbers, images and details in 02_Conc_MD</t>
  </si>
  <si>
    <t>Atom type</t>
  </si>
  <si>
    <t>Mean</t>
  </si>
  <si>
    <t>N</t>
  </si>
  <si>
    <t>S</t>
  </si>
  <si>
    <t>Residue specific interactions</t>
  </si>
  <si>
    <t>Total</t>
  </si>
  <si>
    <t>Tot. no of AS</t>
  </si>
  <si>
    <t>Vacuum</t>
  </si>
  <si>
    <t>Vacuum %</t>
  </si>
  <si>
    <t>Solvent</t>
  </si>
  <si>
    <t>Solvent %</t>
  </si>
  <si>
    <t>HIS</t>
  </si>
  <si>
    <t>Fe</t>
  </si>
  <si>
    <t>Total interactions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</si>
</sst>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sz val="14.0"/>
      <color theme="1"/>
      <name val="Arial"/>
      <scheme val="minor"/>
    </font>
    <font>
      <b/>
      <sz val="14.0"/>
      <color theme="1"/>
      <name val="Arial"/>
    </font>
    <font>
      <sz val="9.0"/>
      <color theme="1"/>
      <name val="Google Sans Mono"/>
    </font>
    <font>
      <sz val="9.0"/>
      <color rgb="FF000000"/>
      <name val="&quot;Google Sans Mono&quot;"/>
    </font>
    <font>
      <sz val="10.0"/>
      <color theme="1"/>
      <name val="Arial"/>
      <scheme val="minor"/>
    </font>
    <font>
      <b/>
      <u/>
      <sz val="12.0"/>
      <color rgb="FF0000FF"/>
    </font>
    <font>
      <b/>
      <sz val="12.0"/>
      <color theme="1"/>
      <name val="Arial"/>
      <scheme val="minor"/>
    </font>
    <font>
      <sz val="9.0"/>
      <color theme="1"/>
      <name val="Arial"/>
      <scheme val="minor"/>
    </font>
    <font>
      <b/>
      <sz val="20.0"/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sz val="8.0"/>
      <color theme="1"/>
      <name val="&quot;Liberation Sans&quot;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0"/>
    </xf>
    <xf borderId="0" fillId="2" fontId="6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3" fontId="9" numFmtId="0" xfId="0" applyFill="1" applyFont="1"/>
    <xf borderId="4" fillId="4" fontId="2" numFmtId="0" xfId="0" applyAlignment="1" applyBorder="1" applyFill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readingOrder="0" vertical="bottom"/>
    </xf>
    <xf borderId="7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8" fillId="4" fontId="2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7" fillId="4" fontId="2" numFmtId="165" xfId="0" applyAlignment="1" applyBorder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4" fontId="2" numFmtId="1" xfId="0" applyAlignment="1" applyFont="1" applyNumberFormat="1">
      <alignment horizontal="center" readingOrder="0"/>
    </xf>
    <xf borderId="8" fillId="4" fontId="2" numFmtId="165" xfId="0" applyAlignment="1" applyBorder="1" applyFont="1" applyNumberFormat="1">
      <alignment horizontal="center" readingOrder="0"/>
    </xf>
    <xf borderId="7" fillId="0" fontId="2" numFmtId="165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8" fillId="0" fontId="2" numFmtId="165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7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7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2" fillId="4" fontId="11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center"/>
    </xf>
    <xf borderId="3" fillId="4" fontId="12" numFmtId="0" xfId="0" applyAlignment="1" applyBorder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0" xfId="0" applyFont="1"/>
    <xf borderId="0" fillId="0" fontId="2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5" fillId="2" fontId="15" numFmtId="0" xfId="0" applyAlignment="1" applyBorder="1" applyFont="1">
      <alignment horizontal="center" vertical="bottom"/>
    </xf>
    <xf borderId="4" fillId="2" fontId="7" numFmtId="0" xfId="0" applyAlignment="1" applyBorder="1" applyFont="1">
      <alignment horizontal="center" vertical="bottom"/>
    </xf>
    <xf borderId="5" fillId="2" fontId="5" numFmtId="0" xfId="0" applyAlignment="1" applyBorder="1" applyFont="1">
      <alignment vertical="bottom"/>
    </xf>
    <xf borderId="0" fillId="5" fontId="5" numFmtId="0" xfId="0" applyAlignment="1" applyFill="1" applyFont="1">
      <alignment vertical="bottom"/>
    </xf>
    <xf borderId="2" fillId="0" fontId="15" numFmtId="0" xfId="0" applyAlignment="1" applyBorder="1" applyFont="1">
      <alignment horizontal="center" vertical="bottom"/>
    </xf>
    <xf borderId="1" fillId="0" fontId="15" numFmtId="2" xfId="0" applyAlignment="1" applyBorder="1" applyFont="1" applyNumberFormat="1">
      <alignment horizontal="center" vertical="bottom"/>
    </xf>
    <xf borderId="0" fillId="5" fontId="5" numFmtId="0" xfId="0" applyAlignment="1" applyFont="1">
      <alignment horizontal="right" vertical="bottom"/>
    </xf>
    <xf borderId="4" fillId="0" fontId="5" numFmtId="0" xfId="0" applyAlignment="1" applyBorder="1" applyFont="1">
      <alignment horizontal="center" vertical="bottom"/>
    </xf>
    <xf borderId="6" fillId="0" fontId="5" numFmtId="2" xfId="0" applyAlignment="1" applyBorder="1" applyFont="1" applyNumberForma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8" fillId="0" fontId="5" numFmtId="2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center" vertical="bottom"/>
    </xf>
    <xf borderId="6" fillId="0" fontId="5" numFmtId="2" xfId="0" applyAlignment="1" applyBorder="1" applyFont="1" applyNumberFormat="1">
      <alignment horizontal="center" vertical="bottom"/>
    </xf>
    <xf borderId="8" fillId="0" fontId="5" numFmtId="2" xfId="0" applyAlignment="1" applyBorder="1" applyFont="1" applyNumberFormat="1">
      <alignment horizontal="center" readingOrder="0" vertical="bottom"/>
    </xf>
    <xf borderId="7" fillId="0" fontId="5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right" vertical="bottom"/>
    </xf>
    <xf borderId="7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4" fillId="2" fontId="7" numFmtId="0" xfId="0" applyAlignment="1" applyBorder="1" applyFont="1">
      <alignment horizontal="center" vertical="bottom"/>
    </xf>
    <xf borderId="5" fillId="2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2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2" fillId="2" fontId="6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6" fillId="0" fontId="2" numFmtId="2" xfId="0" applyAlignment="1" applyBorder="1" applyFont="1" applyNumberFormat="1">
      <alignment horizontal="right"/>
    </xf>
    <xf borderId="0" fillId="0" fontId="2" numFmtId="2" xfId="0" applyFont="1" applyNumberFormat="1"/>
    <xf borderId="7" fillId="0" fontId="2" numFmtId="0" xfId="0" applyAlignment="1" applyBorder="1" applyFont="1">
      <alignment readingOrder="0"/>
    </xf>
    <xf borderId="8" fillId="0" fontId="2" numFmtId="2" xfId="0" applyBorder="1" applyFont="1" applyNumberFormat="1"/>
    <xf borderId="7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8" fillId="0" fontId="2" numFmtId="2" xfId="0" applyAlignment="1" applyBorder="1" applyFont="1" applyNumberFormat="1">
      <alignment horizontal="right"/>
    </xf>
    <xf borderId="7" fillId="0" fontId="2" numFmtId="0" xfId="0" applyBorder="1" applyFont="1"/>
    <xf borderId="8" fillId="0" fontId="2" numFmtId="0" xfId="0" applyBorder="1" applyFont="1"/>
    <xf borderId="15" fillId="0" fontId="1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right" readingOrder="0"/>
    </xf>
    <xf borderId="10" fillId="0" fontId="2" numFmtId="0" xfId="0" applyAlignment="1" applyBorder="1" applyFont="1">
      <alignment horizontal="right" readingOrder="0"/>
    </xf>
    <xf borderId="11" fillId="0" fontId="2" numFmtId="2" xfId="0" applyAlignment="1" applyBorder="1" applyFont="1" applyNumberFormat="1">
      <alignment horizontal="right"/>
    </xf>
    <xf borderId="10" fillId="0" fontId="2" numFmtId="0" xfId="0" applyAlignment="1" applyBorder="1" applyFont="1">
      <alignment readingOrder="0"/>
    </xf>
    <xf borderId="10" fillId="0" fontId="2" numFmtId="2" xfId="0" applyBorder="1" applyFont="1" applyNumberForma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2" xfId="0" applyBorder="1" applyFont="1" applyNumberFormat="1"/>
    <xf borderId="9" fillId="0" fontId="2" numFmtId="0" xfId="0" applyAlignment="1" applyBorder="1" applyFont="1">
      <alignment readingOrder="0"/>
    </xf>
    <xf borderId="5" fillId="2" fontId="16" numFmtId="0" xfId="0" applyAlignment="1" applyBorder="1" applyFont="1">
      <alignment horizontal="center" readingOrder="0" vertical="center"/>
    </xf>
    <xf borderId="0" fillId="5" fontId="2" numFmtId="0" xfId="0" applyFont="1"/>
    <xf borderId="4" fillId="0" fontId="2" numFmtId="0" xfId="0" applyAlignment="1" applyBorder="1" applyFont="1">
      <alignment horizontal="center" readingOrder="0"/>
    </xf>
    <xf borderId="6" fillId="0" fontId="2" numFmtId="2" xfId="0" applyAlignment="1" applyBorder="1" applyFont="1" applyNumberForma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0" fillId="0" fontId="5" numFmtId="1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3" fontId="5" numFmtId="1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8" fillId="0" fontId="2" numFmtId="2" xfId="0" applyAlignment="1" applyBorder="1" applyFont="1" applyNumberFormat="1">
      <alignment horizontal="center" readingOrder="0"/>
    </xf>
    <xf borderId="7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2" xfId="0" applyAlignment="1" applyFont="1" applyNumberFormat="1">
      <alignment horizontal="center" readingOrder="0"/>
    </xf>
    <xf borderId="11" fillId="0" fontId="2" numFmtId="2" xfId="0" applyAlignment="1" applyBorder="1" applyFont="1" applyNumberFormat="1">
      <alignment horizontal="center" readingOrder="0"/>
    </xf>
    <xf borderId="9" fillId="0" fontId="2" numFmtId="2" xfId="0" applyAlignment="1" applyBorder="1" applyFont="1" applyNumberFormat="1">
      <alignment horizontal="center" readingOrder="0"/>
    </xf>
    <xf borderId="0" fillId="0" fontId="5" numFmtId="0" xfId="0" applyAlignment="1" applyFont="1">
      <alignment horizontal="right" vertical="bottom"/>
    </xf>
    <xf borderId="5" fillId="0" fontId="2" numFmtId="0" xfId="0" applyAlignment="1" applyBorder="1" applyFont="1">
      <alignment horizontal="center" readingOrder="0"/>
    </xf>
    <xf borderId="5" fillId="0" fontId="2" numFmtId="2" xfId="0" applyAlignment="1" applyBorder="1" applyFont="1" applyNumberFormat="1">
      <alignment horizontal="center" readingOrder="0"/>
    </xf>
    <xf borderId="10" fillId="0" fontId="2" numFmtId="2" xfId="0" applyAlignment="1" applyBorder="1" applyFont="1" applyNumberFormat="1">
      <alignment horizontal="center" readingOrder="0"/>
    </xf>
    <xf borderId="0" fillId="0" fontId="17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12" fillId="2" fontId="16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2" fillId="0" fontId="2" numFmtId="2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3" fontId="0" numFmtId="1" xfId="0" applyFont="1" applyNumberFormat="1"/>
    <xf borderId="0" fillId="0" fontId="2" numFmtId="10" xfId="0" applyFont="1" applyNumberFormat="1"/>
    <xf borderId="14" fillId="0" fontId="2" numFmtId="2" xfId="0" applyAlignment="1" applyBorder="1" applyFont="1" applyNumberFormat="1">
      <alignment horizontal="center"/>
    </xf>
    <xf borderId="14" fillId="0" fontId="2" numFmtId="2" xfId="0" applyAlignment="1" applyBorder="1" applyFont="1" applyNumberFormat="1">
      <alignment horizontal="center" readingOrder="0"/>
    </xf>
    <xf borderId="0" fillId="3" fontId="0" numFmtId="1" xfId="0" applyAlignment="1" applyFont="1" applyNumberFormat="1">
      <alignment readingOrder="0"/>
    </xf>
    <xf borderId="12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14" fillId="0" fontId="2" numFmtId="0" xfId="0" applyBorder="1" applyFont="1"/>
    <xf borderId="15" fillId="0" fontId="2" numFmtId="2" xfId="0" applyAlignment="1" applyBorder="1" applyFont="1" applyNumberFormat="1">
      <alignment horizontal="center"/>
    </xf>
    <xf borderId="15" fillId="0" fontId="2" numFmtId="2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12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Conc_MD_300K!$R$24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Conc_MD_300K!$P$25:$P$47</c:f>
            </c:strRef>
          </c:cat>
          <c:val>
            <c:numRef>
              <c:f>Conc_MD_300K!$R$25:$R$47</c:f>
              <c:numCache/>
            </c:numRef>
          </c:val>
        </c:ser>
        <c:ser>
          <c:idx val="1"/>
          <c:order val="1"/>
          <c:tx>
            <c:strRef>
              <c:f>Conc_MD_300K!$T$24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Conc_MD_300K!$P$25:$P$47</c:f>
            </c:strRef>
          </c:cat>
          <c:val>
            <c:numRef>
              <c:f>Conc_MD_300K!$T$25:$T$47</c:f>
              <c:numCache/>
            </c:numRef>
          </c:val>
        </c:ser>
        <c:axId val="2046156317"/>
        <c:axId val="516486687"/>
      </c:barChart>
      <c:catAx>
        <c:axId val="2046156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486687"/>
      </c:catAx>
      <c:valAx>
        <c:axId val="516486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156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Conc_MD_300K!$Q$24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Conc_MD_300K!$P$25:$P$47</c:f>
            </c:strRef>
          </c:cat>
          <c:val>
            <c:numRef>
              <c:f>Conc_MD_300K!$Q$25:$Q$47</c:f>
              <c:numCache/>
            </c:numRef>
          </c:val>
        </c:ser>
        <c:ser>
          <c:idx val="1"/>
          <c:order val="1"/>
          <c:tx>
            <c:strRef>
              <c:f>Conc_MD_300K!$S$24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Conc_MD_300K!$P$25:$P$47</c:f>
            </c:strRef>
          </c:cat>
          <c:val>
            <c:numRef>
              <c:f>Conc_MD_300K!$S$25:$S$47</c:f>
              <c:numCache/>
            </c:numRef>
          </c:val>
        </c:ser>
        <c:axId val="699710805"/>
        <c:axId val="350972775"/>
      </c:barChart>
      <c:catAx>
        <c:axId val="699710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972775"/>
      </c:catAx>
      <c:valAx>
        <c:axId val="350972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710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Conc_MD_400K!$M$26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Conc_MD_400K!$K$27:$K$49</c:f>
            </c:strRef>
          </c:cat>
          <c:val>
            <c:numRef>
              <c:f>Conc_MD_400K!$M$27:$M$49</c:f>
              <c:numCache/>
            </c:numRef>
          </c:val>
        </c:ser>
        <c:ser>
          <c:idx val="1"/>
          <c:order val="1"/>
          <c:tx>
            <c:strRef>
              <c:f>Conc_MD_400K!$O$26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Conc_MD_400K!$K$27:$K$49</c:f>
            </c:strRef>
          </c:cat>
          <c:val>
            <c:numRef>
              <c:f>Conc_MD_400K!$O$27:$O$49</c:f>
              <c:numCache/>
            </c:numRef>
          </c:val>
        </c:ser>
        <c:axId val="774446493"/>
        <c:axId val="539538373"/>
      </c:barChart>
      <c:catAx>
        <c:axId val="774446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538373"/>
      </c:catAx>
      <c:valAx>
        <c:axId val="53953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446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Conc_MD_400K!$L$26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Conc_MD_400K!$K$27:$K$49</c:f>
            </c:strRef>
          </c:cat>
          <c:val>
            <c:numRef>
              <c:f>Conc_MD_400K!$L$27:$L$49</c:f>
              <c:numCache/>
            </c:numRef>
          </c:val>
        </c:ser>
        <c:ser>
          <c:idx val="1"/>
          <c:order val="1"/>
          <c:tx>
            <c:strRef>
              <c:f>Conc_MD_400K!$N$26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Conc_MD_400K!$K$27:$K$49</c:f>
            </c:strRef>
          </c:cat>
          <c:val>
            <c:numRef>
              <c:f>Conc_MD_400K!$N$27:$N$49</c:f>
              <c:numCache/>
            </c:numRef>
          </c:val>
        </c:ser>
        <c:axId val="202265272"/>
        <c:axId val="1748294201"/>
      </c:barChart>
      <c:catAx>
        <c:axId val="202265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94201"/>
      </c:catAx>
      <c:valAx>
        <c:axId val="1748294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65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Conc_MD_500K!$M$24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Conc_MD_500K!$K$25:$K$47</c:f>
            </c:strRef>
          </c:cat>
          <c:val>
            <c:numRef>
              <c:f>Conc_MD_500K!$M$25:$M$47</c:f>
              <c:numCache/>
            </c:numRef>
          </c:val>
        </c:ser>
        <c:ser>
          <c:idx val="1"/>
          <c:order val="1"/>
          <c:tx>
            <c:strRef>
              <c:f>Conc_MD_500K!$O$24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Conc_MD_500K!$K$25:$K$47</c:f>
            </c:strRef>
          </c:cat>
          <c:val>
            <c:numRef>
              <c:f>Conc_MD_500K!$O$25:$O$47</c:f>
              <c:numCache/>
            </c:numRef>
          </c:val>
        </c:ser>
        <c:axId val="1262679208"/>
        <c:axId val="1842147324"/>
      </c:barChart>
      <c:catAx>
        <c:axId val="1262679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147324"/>
      </c:catAx>
      <c:valAx>
        <c:axId val="1842147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679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Conc_MD_500K!$L$24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Conc_MD_500K!$K$25:$K$47</c:f>
            </c:strRef>
          </c:cat>
          <c:val>
            <c:numRef>
              <c:f>Conc_MD_500K!$L$25:$L$47</c:f>
              <c:numCache/>
            </c:numRef>
          </c:val>
        </c:ser>
        <c:ser>
          <c:idx val="1"/>
          <c:order val="1"/>
          <c:tx>
            <c:strRef>
              <c:f>Conc_MD_500K!$N$24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Conc_MD_500K!$K$25:$K$47</c:f>
            </c:strRef>
          </c:cat>
          <c:val>
            <c:numRef>
              <c:f>Conc_MD_500K!$N$25:$N$47</c:f>
              <c:numCache/>
            </c:numRef>
          </c:val>
        </c:ser>
        <c:axId val="1664763021"/>
        <c:axId val="2065533513"/>
      </c:barChart>
      <c:catAx>
        <c:axId val="166476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533513"/>
      </c:catAx>
      <c:valAx>
        <c:axId val="2065533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763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48</xdr:row>
      <xdr:rowOff>19050</xdr:rowOff>
    </xdr:from>
    <xdr:ext cx="5314950" cy="33051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304800</xdr:colOff>
      <xdr:row>47</xdr:row>
      <xdr:rowOff>152400</xdr:rowOff>
    </xdr:from>
    <xdr:ext cx="5448300" cy="33718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51</xdr:row>
      <xdr:rowOff>0</xdr:rowOff>
    </xdr:from>
    <xdr:ext cx="5400675" cy="33718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51</xdr:row>
      <xdr:rowOff>0</xdr:rowOff>
    </xdr:from>
    <xdr:ext cx="5448300" cy="337185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49</xdr:row>
      <xdr:rowOff>0</xdr:rowOff>
    </xdr:from>
    <xdr:ext cx="5400675" cy="3371850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49</xdr:row>
      <xdr:rowOff>0</xdr:rowOff>
    </xdr:from>
    <xdr:ext cx="5448300" cy="3371850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20.0</v>
      </c>
    </row>
    <row r="3">
      <c r="A3" s="2" t="s">
        <v>3</v>
      </c>
      <c r="B3" s="2">
        <v>18.0</v>
      </c>
    </row>
    <row r="4">
      <c r="A4" s="2" t="s">
        <v>4</v>
      </c>
      <c r="B4" s="2">
        <v>17.0</v>
      </c>
    </row>
    <row r="5">
      <c r="A5" s="2" t="s">
        <v>5</v>
      </c>
      <c r="B5" s="2">
        <v>16.0</v>
      </c>
    </row>
    <row r="6">
      <c r="A6" s="2" t="s">
        <v>6</v>
      </c>
      <c r="B6" s="2">
        <v>16.0</v>
      </c>
    </row>
    <row r="7">
      <c r="A7" s="2" t="s">
        <v>7</v>
      </c>
      <c r="B7" s="2">
        <v>15.0</v>
      </c>
    </row>
    <row r="8">
      <c r="A8" s="2" t="s">
        <v>8</v>
      </c>
      <c r="B8" s="2">
        <v>15.0</v>
      </c>
    </row>
    <row r="9">
      <c r="A9" s="2" t="s">
        <v>9</v>
      </c>
      <c r="B9" s="2">
        <v>15.0</v>
      </c>
    </row>
    <row r="10">
      <c r="A10" s="2" t="s">
        <v>10</v>
      </c>
      <c r="B10" s="2">
        <v>13.0</v>
      </c>
    </row>
    <row r="11">
      <c r="A11" s="2" t="s">
        <v>11</v>
      </c>
      <c r="B11" s="2">
        <v>13.0</v>
      </c>
    </row>
    <row r="12">
      <c r="A12" s="2" t="s">
        <v>12</v>
      </c>
      <c r="B12" s="2">
        <v>11.0</v>
      </c>
    </row>
    <row r="13">
      <c r="A13" s="2" t="s">
        <v>13</v>
      </c>
      <c r="B13" s="2">
        <v>10.0</v>
      </c>
    </row>
    <row r="14">
      <c r="A14" s="2" t="s">
        <v>14</v>
      </c>
      <c r="B14" s="2">
        <v>9.0</v>
      </c>
    </row>
    <row r="15">
      <c r="A15" s="2" t="s">
        <v>15</v>
      </c>
      <c r="B15" s="2">
        <v>8.0</v>
      </c>
    </row>
    <row r="16">
      <c r="A16" s="2" t="s">
        <v>16</v>
      </c>
      <c r="B16" s="2">
        <v>8.0</v>
      </c>
    </row>
    <row r="17">
      <c r="A17" s="2" t="s">
        <v>17</v>
      </c>
      <c r="B17" s="2">
        <v>7.0</v>
      </c>
    </row>
    <row r="18">
      <c r="A18" s="2" t="s">
        <v>18</v>
      </c>
      <c r="B18" s="2">
        <v>5.0</v>
      </c>
    </row>
    <row r="19">
      <c r="A19" s="2" t="s">
        <v>19</v>
      </c>
      <c r="B19" s="2">
        <v>4.0</v>
      </c>
    </row>
    <row r="20">
      <c r="A20" s="2" t="s">
        <v>20</v>
      </c>
      <c r="B20" s="2">
        <v>3.0</v>
      </c>
    </row>
    <row r="21">
      <c r="A21" s="2" t="s">
        <v>21</v>
      </c>
      <c r="B21" s="2">
        <v>1.0</v>
      </c>
    </row>
    <row r="22">
      <c r="A22" s="2" t="s">
        <v>22</v>
      </c>
      <c r="B22" s="2">
        <v>1.0</v>
      </c>
    </row>
    <row r="23">
      <c r="A23" s="2" t="s">
        <v>23</v>
      </c>
      <c r="B23" s="2">
        <v>1.0</v>
      </c>
    </row>
    <row r="24">
      <c r="A24" s="2" t="s">
        <v>24</v>
      </c>
      <c r="B24" s="2">
        <v>1.0</v>
      </c>
    </row>
    <row r="25">
      <c r="A25" s="2" t="s">
        <v>25</v>
      </c>
      <c r="B25" s="2">
        <v>1.0</v>
      </c>
    </row>
    <row r="26">
      <c r="A26" s="2" t="s">
        <v>26</v>
      </c>
      <c r="B26" s="2">
        <v>1.0</v>
      </c>
    </row>
    <row r="27">
      <c r="B27" s="3">
        <f>SUM(B2:B26)</f>
        <v>229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6.38"/>
    <col customWidth="1" min="18" max="18" width="17.25"/>
    <col customWidth="1" min="19" max="19" width="20.5"/>
    <col customWidth="1" min="20" max="20" width="20.88"/>
    <col customWidth="1" min="21" max="21" width="17.5"/>
    <col customWidth="1" min="22" max="22" width="18.38"/>
    <col customWidth="1" min="25" max="25" width="14.5"/>
  </cols>
  <sheetData>
    <row r="1">
      <c r="A1" s="4" t="s">
        <v>27</v>
      </c>
      <c r="Q1" s="5" t="s">
        <v>28</v>
      </c>
      <c r="R1" s="6"/>
      <c r="S1" s="6"/>
      <c r="T1" s="6"/>
      <c r="U1" s="7" t="s">
        <v>29</v>
      </c>
      <c r="V1" s="6"/>
      <c r="W1" s="8"/>
      <c r="X1" s="9"/>
      <c r="Z1" s="10"/>
      <c r="AB1" s="11"/>
    </row>
    <row r="2">
      <c r="A2" s="2" t="s">
        <v>30</v>
      </c>
      <c r="Q2" s="6"/>
      <c r="R2" s="6"/>
      <c r="S2" s="6"/>
      <c r="T2" s="6"/>
      <c r="U2" s="6"/>
      <c r="V2" s="6"/>
    </row>
    <row r="3">
      <c r="A3" s="12" t="s">
        <v>31</v>
      </c>
      <c r="B3" s="12"/>
      <c r="C3" s="12"/>
      <c r="D3" s="13"/>
      <c r="E3" s="13"/>
      <c r="F3" s="14" t="s">
        <v>32</v>
      </c>
      <c r="G3" s="14"/>
      <c r="H3" s="14"/>
      <c r="I3" s="13"/>
      <c r="J3" s="13"/>
      <c r="K3" s="14" t="s">
        <v>33</v>
      </c>
      <c r="L3" s="14"/>
      <c r="M3" s="14"/>
      <c r="N3" s="13"/>
      <c r="O3" s="13"/>
      <c r="Q3" s="15" t="s">
        <v>31</v>
      </c>
      <c r="R3" s="16" t="s">
        <v>32</v>
      </c>
      <c r="S3" s="16" t="s">
        <v>33</v>
      </c>
      <c r="T3" s="16" t="s">
        <v>34</v>
      </c>
      <c r="U3" s="16" t="s">
        <v>35</v>
      </c>
      <c r="V3" s="17" t="s">
        <v>36</v>
      </c>
      <c r="W3" s="18"/>
      <c r="X3" s="19"/>
      <c r="Y3" s="19"/>
    </row>
    <row r="4">
      <c r="A4" s="20" t="s">
        <v>37</v>
      </c>
      <c r="B4" s="21" t="s">
        <v>38</v>
      </c>
      <c r="C4" s="21" t="s">
        <v>39</v>
      </c>
      <c r="D4" s="21" t="s">
        <v>40</v>
      </c>
      <c r="E4" s="22" t="s">
        <v>41</v>
      </c>
      <c r="F4" s="20" t="s">
        <v>37</v>
      </c>
      <c r="G4" s="21" t="s">
        <v>38</v>
      </c>
      <c r="H4" s="21" t="s">
        <v>39</v>
      </c>
      <c r="I4" s="21" t="s">
        <v>40</v>
      </c>
      <c r="J4" s="22" t="s">
        <v>41</v>
      </c>
      <c r="K4" s="20" t="s">
        <v>37</v>
      </c>
      <c r="L4" s="21" t="s">
        <v>38</v>
      </c>
      <c r="M4" s="21" t="s">
        <v>39</v>
      </c>
      <c r="N4" s="21" t="s">
        <v>40</v>
      </c>
      <c r="O4" s="22" t="s">
        <v>41</v>
      </c>
      <c r="Q4" s="23"/>
      <c r="R4" s="24" t="s">
        <v>42</v>
      </c>
      <c r="S4" s="23"/>
      <c r="T4" s="25"/>
      <c r="U4" s="24" t="s">
        <v>43</v>
      </c>
      <c r="V4" s="25"/>
      <c r="W4" s="26"/>
      <c r="X4" s="26"/>
      <c r="Y4" s="26"/>
      <c r="AA4" s="27"/>
      <c r="AB4" s="27"/>
      <c r="AC4" s="27"/>
    </row>
    <row r="5">
      <c r="A5" s="28">
        <v>0.025</v>
      </c>
      <c r="B5" s="29">
        <v>2.826</v>
      </c>
      <c r="C5" s="29">
        <v>-23.8</v>
      </c>
      <c r="D5" s="29" t="s">
        <v>4</v>
      </c>
      <c r="E5" s="30">
        <v>-0.217</v>
      </c>
      <c r="F5" s="28">
        <v>-4.654</v>
      </c>
      <c r="G5" s="29">
        <v>3.113</v>
      </c>
      <c r="H5" s="29">
        <v>10.773</v>
      </c>
      <c r="I5" s="29" t="s">
        <v>15</v>
      </c>
      <c r="J5" s="30">
        <v>-1.269</v>
      </c>
      <c r="K5" s="28">
        <v>-0.624</v>
      </c>
      <c r="L5" s="29">
        <v>29.251</v>
      </c>
      <c r="M5" s="29">
        <v>8.968</v>
      </c>
      <c r="N5" s="29" t="s">
        <v>12</v>
      </c>
      <c r="O5" s="30">
        <v>-1.356</v>
      </c>
      <c r="Q5" s="31"/>
      <c r="R5" s="32" t="s">
        <v>44</v>
      </c>
      <c r="S5" s="31"/>
      <c r="T5" s="25"/>
      <c r="U5" s="24" t="s">
        <v>45</v>
      </c>
      <c r="V5" s="25"/>
      <c r="W5" s="26"/>
      <c r="X5" s="26"/>
      <c r="Y5" s="26"/>
      <c r="AA5" s="27"/>
      <c r="AE5" s="27"/>
    </row>
    <row r="6">
      <c r="A6" s="33">
        <v>-15.765</v>
      </c>
      <c r="B6" s="34">
        <v>-12.366</v>
      </c>
      <c r="C6" s="34">
        <v>11.894</v>
      </c>
      <c r="D6" s="34" t="s">
        <v>12</v>
      </c>
      <c r="E6" s="35">
        <v>-0.212</v>
      </c>
      <c r="F6" s="33">
        <v>-4.425</v>
      </c>
      <c r="G6" s="34">
        <v>0.721</v>
      </c>
      <c r="H6" s="34">
        <v>13.495</v>
      </c>
      <c r="I6" s="34" t="s">
        <v>12</v>
      </c>
      <c r="J6" s="35">
        <v>-1.146</v>
      </c>
      <c r="K6" s="33">
        <v>5.823</v>
      </c>
      <c r="L6" s="34">
        <v>-22.647</v>
      </c>
      <c r="M6" s="34">
        <v>-1.672</v>
      </c>
      <c r="N6" s="34" t="s">
        <v>13</v>
      </c>
      <c r="O6" s="35">
        <v>-1.165</v>
      </c>
      <c r="Q6" s="36"/>
      <c r="R6" s="36"/>
      <c r="S6" s="36"/>
      <c r="T6" s="37"/>
      <c r="U6" s="24" t="s">
        <v>46</v>
      </c>
      <c r="V6" s="37"/>
      <c r="W6" s="26"/>
      <c r="X6" s="26"/>
      <c r="Y6" s="26"/>
      <c r="AA6" s="27"/>
      <c r="AB6" s="27"/>
      <c r="AC6" s="27"/>
    </row>
    <row r="7">
      <c r="A7" s="33">
        <v>-0.381</v>
      </c>
      <c r="B7" s="34">
        <v>19.075</v>
      </c>
      <c r="C7" s="34">
        <v>1.27</v>
      </c>
      <c r="D7" s="34" t="s">
        <v>6</v>
      </c>
      <c r="E7" s="35">
        <v>-0.207</v>
      </c>
      <c r="F7" s="33">
        <v>-3.29</v>
      </c>
      <c r="G7" s="34">
        <v>-0.177</v>
      </c>
      <c r="H7" s="34">
        <v>13.716</v>
      </c>
      <c r="I7" s="34" t="s">
        <v>19</v>
      </c>
      <c r="J7" s="35">
        <v>-1.081</v>
      </c>
      <c r="K7" s="33">
        <v>-4.409</v>
      </c>
      <c r="L7" s="34">
        <v>-16.752</v>
      </c>
      <c r="M7" s="34">
        <v>16.364</v>
      </c>
      <c r="N7" s="34" t="s">
        <v>12</v>
      </c>
      <c r="O7" s="35">
        <v>-1.083</v>
      </c>
      <c r="T7" s="26"/>
      <c r="U7" s="26"/>
      <c r="V7" s="26"/>
      <c r="W7" s="26"/>
      <c r="X7" s="26"/>
      <c r="Y7" s="26"/>
      <c r="AA7" s="27"/>
      <c r="AB7" s="27"/>
      <c r="AC7" s="27"/>
    </row>
    <row r="8">
      <c r="A8" s="33">
        <v>-13.936</v>
      </c>
      <c r="B8" s="34">
        <v>-12.142</v>
      </c>
      <c r="C8" s="34">
        <v>12.812</v>
      </c>
      <c r="D8" s="34" t="s">
        <v>7</v>
      </c>
      <c r="E8" s="35">
        <v>-0.202</v>
      </c>
      <c r="F8" s="33">
        <v>-5.281</v>
      </c>
      <c r="G8" s="34">
        <v>6.944</v>
      </c>
      <c r="H8" s="34">
        <v>-12.77</v>
      </c>
      <c r="I8" s="34" t="s">
        <v>7</v>
      </c>
      <c r="J8" s="35">
        <v>-1.054</v>
      </c>
      <c r="K8" s="33">
        <v>-3.417</v>
      </c>
      <c r="L8" s="34">
        <v>6.986</v>
      </c>
      <c r="M8" s="34">
        <v>-21.945</v>
      </c>
      <c r="N8" s="34" t="s">
        <v>4</v>
      </c>
      <c r="O8" s="35">
        <v>-1.081</v>
      </c>
      <c r="T8" s="26"/>
      <c r="U8" s="26"/>
      <c r="V8" s="26"/>
      <c r="W8" s="26"/>
      <c r="X8" s="26"/>
      <c r="Y8" s="26"/>
      <c r="AA8" s="27"/>
      <c r="AB8" s="27"/>
      <c r="AC8" s="27"/>
    </row>
    <row r="9">
      <c r="A9" s="33">
        <v>0.803</v>
      </c>
      <c r="B9" s="34">
        <v>1.108</v>
      </c>
      <c r="C9" s="34">
        <v>-22.84</v>
      </c>
      <c r="D9" s="34" t="s">
        <v>16</v>
      </c>
      <c r="E9" s="35">
        <v>-0.201</v>
      </c>
      <c r="F9" s="33">
        <v>11.716</v>
      </c>
      <c r="G9" s="34">
        <v>-1.317</v>
      </c>
      <c r="H9" s="34">
        <v>-6.894</v>
      </c>
      <c r="I9" s="34" t="s">
        <v>2</v>
      </c>
      <c r="J9" s="35">
        <v>-1.048</v>
      </c>
      <c r="K9" s="33">
        <v>-0.243</v>
      </c>
      <c r="L9" s="34">
        <v>16.521</v>
      </c>
      <c r="M9" s="34">
        <v>-13.549</v>
      </c>
      <c r="N9" s="34" t="s">
        <v>4</v>
      </c>
      <c r="O9" s="35">
        <v>-1.067</v>
      </c>
      <c r="T9" s="26"/>
      <c r="U9" s="26"/>
      <c r="V9" s="26"/>
      <c r="W9" s="26"/>
      <c r="X9" s="26"/>
      <c r="Y9" s="26"/>
      <c r="AA9" s="27"/>
      <c r="AB9" s="27"/>
      <c r="AC9" s="27"/>
    </row>
    <row r="10">
      <c r="A10" s="33">
        <v>-10.768</v>
      </c>
      <c r="B10" s="34">
        <v>0.918</v>
      </c>
      <c r="C10" s="34">
        <v>5.505</v>
      </c>
      <c r="D10" s="34" t="s">
        <v>12</v>
      </c>
      <c r="E10" s="35">
        <v>-0.195</v>
      </c>
      <c r="F10" s="33">
        <v>10.408</v>
      </c>
      <c r="G10" s="34">
        <v>11.65</v>
      </c>
      <c r="H10" s="34">
        <v>-7.907</v>
      </c>
      <c r="I10" s="34" t="s">
        <v>4</v>
      </c>
      <c r="J10" s="35">
        <v>-1.043</v>
      </c>
      <c r="K10" s="33">
        <v>-0.437</v>
      </c>
      <c r="L10" s="34">
        <v>-20.604</v>
      </c>
      <c r="M10" s="34">
        <v>-15.493</v>
      </c>
      <c r="N10" s="34" t="s">
        <v>7</v>
      </c>
      <c r="O10" s="35">
        <v>-1.018</v>
      </c>
      <c r="T10" s="26"/>
      <c r="U10" s="26"/>
      <c r="V10" s="26"/>
      <c r="W10" s="26"/>
      <c r="X10" s="26"/>
      <c r="Y10" s="26"/>
      <c r="AA10" s="27"/>
      <c r="AB10" s="27"/>
      <c r="AC10" s="27"/>
    </row>
    <row r="11">
      <c r="A11" s="33">
        <v>-0.298</v>
      </c>
      <c r="B11" s="34">
        <v>20.662</v>
      </c>
      <c r="C11" s="34">
        <v>10.614</v>
      </c>
      <c r="D11" s="34" t="s">
        <v>2</v>
      </c>
      <c r="E11" s="35">
        <v>-0.191</v>
      </c>
      <c r="F11" s="33">
        <v>17.944</v>
      </c>
      <c r="G11" s="34">
        <v>0.146</v>
      </c>
      <c r="H11" s="34">
        <v>1.09</v>
      </c>
      <c r="I11" s="34" t="s">
        <v>9</v>
      </c>
      <c r="J11" s="35">
        <v>-1.029</v>
      </c>
      <c r="K11" s="33">
        <v>-6.19</v>
      </c>
      <c r="L11" s="34">
        <v>-22.057</v>
      </c>
      <c r="M11" s="34">
        <v>-9.084</v>
      </c>
      <c r="N11" s="34" t="s">
        <v>6</v>
      </c>
      <c r="O11" s="35">
        <v>-1.01</v>
      </c>
      <c r="T11" s="26"/>
      <c r="U11" s="26"/>
      <c r="V11" s="26"/>
      <c r="W11" s="26"/>
      <c r="X11" s="26"/>
      <c r="Y11" s="26"/>
      <c r="AA11" s="27"/>
      <c r="AB11" s="27"/>
      <c r="AC11" s="27"/>
    </row>
    <row r="12">
      <c r="A12" s="38">
        <v>-0.296</v>
      </c>
      <c r="B12" s="39">
        <v>20.962</v>
      </c>
      <c r="C12" s="39">
        <v>11.561</v>
      </c>
      <c r="D12" s="40" t="s">
        <v>12</v>
      </c>
      <c r="E12" s="41">
        <v>-0.19</v>
      </c>
      <c r="F12" s="33">
        <v>-1.681</v>
      </c>
      <c r="G12" s="34">
        <v>-18.024</v>
      </c>
      <c r="H12" s="34">
        <v>-13.871</v>
      </c>
      <c r="I12" s="34" t="s">
        <v>17</v>
      </c>
      <c r="J12" s="35">
        <v>-1.022</v>
      </c>
      <c r="K12" s="33">
        <v>2.763</v>
      </c>
      <c r="L12" s="34">
        <v>-21.539</v>
      </c>
      <c r="M12" s="34">
        <v>12.001</v>
      </c>
      <c r="N12" s="34" t="s">
        <v>10</v>
      </c>
      <c r="O12" s="35">
        <v>-1.001</v>
      </c>
      <c r="T12" s="26"/>
      <c r="U12" s="26"/>
      <c r="V12" s="26"/>
      <c r="W12" s="26"/>
      <c r="X12" s="26"/>
      <c r="Y12" s="26"/>
      <c r="AA12" s="27"/>
      <c r="AB12" s="27"/>
      <c r="AC12" s="27"/>
    </row>
    <row r="13">
      <c r="A13" s="38">
        <v>10.015</v>
      </c>
      <c r="B13" s="39">
        <v>11.442</v>
      </c>
      <c r="C13" s="39">
        <v>-7.978</v>
      </c>
      <c r="D13" s="40" t="s">
        <v>4</v>
      </c>
      <c r="E13" s="41">
        <v>-0.186</v>
      </c>
      <c r="F13" s="33">
        <v>0.618</v>
      </c>
      <c r="G13" s="34">
        <v>-15.032</v>
      </c>
      <c r="H13" s="34">
        <v>-12.815</v>
      </c>
      <c r="I13" s="34" t="s">
        <v>24</v>
      </c>
      <c r="J13" s="35">
        <v>-1.018</v>
      </c>
      <c r="K13" s="33">
        <v>-5.657</v>
      </c>
      <c r="L13" s="34">
        <v>-22.268</v>
      </c>
      <c r="M13" s="34">
        <v>-9.135</v>
      </c>
      <c r="N13" s="34" t="s">
        <v>7</v>
      </c>
      <c r="O13" s="35">
        <v>-0.961</v>
      </c>
      <c r="T13" s="26"/>
      <c r="U13" s="26"/>
      <c r="V13" s="26"/>
      <c r="W13" s="26"/>
      <c r="X13" s="26"/>
      <c r="Y13" s="26"/>
      <c r="AA13" s="27"/>
      <c r="AB13" s="27"/>
      <c r="AC13" s="27"/>
    </row>
    <row r="14">
      <c r="A14" s="38">
        <v>-11.175</v>
      </c>
      <c r="B14" s="39">
        <v>0.619</v>
      </c>
      <c r="C14" s="39">
        <v>5.562</v>
      </c>
      <c r="D14" s="40" t="s">
        <v>10</v>
      </c>
      <c r="E14" s="41">
        <v>-0.183</v>
      </c>
      <c r="F14" s="33">
        <v>18.449</v>
      </c>
      <c r="G14" s="34">
        <v>-5.832</v>
      </c>
      <c r="H14" s="34">
        <v>-4.366</v>
      </c>
      <c r="I14" s="34" t="s">
        <v>8</v>
      </c>
      <c r="J14" s="35">
        <v>-1.005</v>
      </c>
      <c r="K14" s="33">
        <v>-3.966</v>
      </c>
      <c r="L14" s="34">
        <v>1.716</v>
      </c>
      <c r="M14" s="34">
        <v>-8.925</v>
      </c>
      <c r="N14" s="34" t="s">
        <v>14</v>
      </c>
      <c r="O14" s="35">
        <v>-0.943</v>
      </c>
      <c r="T14" s="26"/>
      <c r="U14" s="26"/>
      <c r="V14" s="26"/>
      <c r="W14" s="26"/>
      <c r="X14" s="26"/>
      <c r="Y14" s="26"/>
      <c r="AA14" s="27"/>
      <c r="AB14" s="27"/>
      <c r="AC14" s="27"/>
    </row>
    <row r="15">
      <c r="A15" s="42">
        <v>0.31</v>
      </c>
      <c r="B15" s="43">
        <v>18.554</v>
      </c>
      <c r="C15" s="43">
        <v>2.138</v>
      </c>
      <c r="D15" s="44" t="s">
        <v>2</v>
      </c>
      <c r="E15" s="45">
        <v>-0.177</v>
      </c>
      <c r="F15" s="46">
        <v>0.76</v>
      </c>
      <c r="G15" s="47">
        <v>18.349</v>
      </c>
      <c r="H15" s="47">
        <v>2.671</v>
      </c>
      <c r="I15" s="47" t="s">
        <v>2</v>
      </c>
      <c r="J15" s="48">
        <v>-1.003</v>
      </c>
      <c r="K15" s="46">
        <v>1.7</v>
      </c>
      <c r="L15" s="47">
        <v>12.318</v>
      </c>
      <c r="M15" s="47">
        <v>16.212</v>
      </c>
      <c r="N15" s="47" t="s">
        <v>11</v>
      </c>
      <c r="O15" s="48">
        <v>-0.937</v>
      </c>
      <c r="P15" s="49"/>
      <c r="T15" s="26"/>
      <c r="U15" s="26"/>
      <c r="V15" s="26"/>
      <c r="W15" s="26"/>
      <c r="X15" s="26"/>
      <c r="Y15" s="26"/>
      <c r="AA15" s="27"/>
      <c r="AB15" s="27"/>
      <c r="AC15" s="27"/>
    </row>
    <row r="16">
      <c r="A16" s="42">
        <v>5.855</v>
      </c>
      <c r="B16" s="43">
        <v>-9.661</v>
      </c>
      <c r="C16" s="43">
        <v>19.527</v>
      </c>
      <c r="D16" s="44" t="s">
        <v>3</v>
      </c>
      <c r="E16" s="45">
        <v>-0.176</v>
      </c>
      <c r="F16" s="46">
        <v>-7.195</v>
      </c>
      <c r="G16" s="47">
        <v>-9.158</v>
      </c>
      <c r="H16" s="47">
        <v>10.792</v>
      </c>
      <c r="I16" s="47" t="s">
        <v>17</v>
      </c>
      <c r="J16" s="48">
        <v>-0.998</v>
      </c>
      <c r="K16" s="46">
        <v>3.017</v>
      </c>
      <c r="L16" s="47">
        <v>13.758</v>
      </c>
      <c r="M16" s="47">
        <v>5.871</v>
      </c>
      <c r="N16" s="47" t="s">
        <v>16</v>
      </c>
      <c r="O16" s="48">
        <v>-0.932</v>
      </c>
      <c r="P16" s="50"/>
      <c r="T16" s="26"/>
      <c r="U16" s="26"/>
      <c r="V16" s="26"/>
      <c r="W16" s="26"/>
      <c r="X16" s="26"/>
      <c r="Y16" s="26"/>
      <c r="AA16" s="27"/>
      <c r="AB16" s="27"/>
      <c r="AC16" s="27"/>
    </row>
    <row r="17">
      <c r="A17" s="46">
        <v>5.859</v>
      </c>
      <c r="B17" s="47">
        <v>-9.339</v>
      </c>
      <c r="C17" s="47">
        <v>19.322</v>
      </c>
      <c r="D17" s="47" t="s">
        <v>5</v>
      </c>
      <c r="E17" s="48">
        <v>-0.172</v>
      </c>
      <c r="F17" s="46">
        <v>-10.254</v>
      </c>
      <c r="G17" s="47">
        <v>-12.77</v>
      </c>
      <c r="H17" s="47">
        <v>1.668</v>
      </c>
      <c r="I17" s="47" t="s">
        <v>5</v>
      </c>
      <c r="J17" s="48">
        <v>-0.996</v>
      </c>
      <c r="K17" s="51">
        <v>1.96</v>
      </c>
      <c r="L17" s="52">
        <v>15.084</v>
      </c>
      <c r="M17" s="52">
        <v>5.459</v>
      </c>
      <c r="N17" s="52" t="s">
        <v>2</v>
      </c>
      <c r="O17" s="53">
        <v>-0.926</v>
      </c>
      <c r="P17" s="47"/>
      <c r="T17" s="26"/>
      <c r="U17" s="26"/>
      <c r="V17" s="26"/>
      <c r="W17" s="26"/>
      <c r="X17" s="26"/>
      <c r="Y17" s="26"/>
      <c r="AA17" s="27"/>
      <c r="AB17" s="27"/>
      <c r="AC17" s="27"/>
    </row>
    <row r="18">
      <c r="A18" s="46">
        <v>-16.434</v>
      </c>
      <c r="B18" s="47">
        <v>-12.016</v>
      </c>
      <c r="C18" s="47">
        <v>12.087</v>
      </c>
      <c r="D18" s="47" t="s">
        <v>19</v>
      </c>
      <c r="E18" s="48">
        <v>-0.172</v>
      </c>
      <c r="F18" s="46">
        <v>-0.483</v>
      </c>
      <c r="G18" s="47">
        <v>-18.081</v>
      </c>
      <c r="H18" s="47">
        <v>15.106</v>
      </c>
      <c r="I18" s="47" t="s">
        <v>6</v>
      </c>
      <c r="J18" s="48">
        <v>-0.995</v>
      </c>
      <c r="K18" s="54">
        <v>2.327</v>
      </c>
      <c r="L18" s="55">
        <v>12.105</v>
      </c>
      <c r="M18" s="55">
        <v>-10.801</v>
      </c>
      <c r="N18" s="55" t="s">
        <v>2</v>
      </c>
      <c r="O18" s="48">
        <v>-0.924</v>
      </c>
      <c r="P18" s="47"/>
      <c r="T18" s="26"/>
      <c r="U18" s="26"/>
      <c r="V18" s="26"/>
      <c r="W18" s="26"/>
      <c r="X18" s="26"/>
      <c r="Y18" s="26"/>
      <c r="AA18" s="27"/>
      <c r="AB18" s="27"/>
      <c r="AC18" s="27"/>
    </row>
    <row r="19">
      <c r="A19" s="46">
        <v>-1.482</v>
      </c>
      <c r="B19" s="47">
        <v>21.128</v>
      </c>
      <c r="C19" s="47">
        <v>9.488</v>
      </c>
      <c r="D19" s="47" t="s">
        <v>7</v>
      </c>
      <c r="E19" s="48">
        <v>-0.171</v>
      </c>
      <c r="F19" s="46">
        <v>3.786</v>
      </c>
      <c r="G19" s="47">
        <v>-1.656</v>
      </c>
      <c r="H19" s="47">
        <v>5.45</v>
      </c>
      <c r="I19" s="47" t="s">
        <v>7</v>
      </c>
      <c r="J19" s="48">
        <v>-0.993</v>
      </c>
      <c r="K19" s="46">
        <v>-24.316</v>
      </c>
      <c r="L19" s="47">
        <v>-4.876</v>
      </c>
      <c r="M19" s="47">
        <v>-0.163</v>
      </c>
      <c r="N19" s="47" t="s">
        <v>4</v>
      </c>
      <c r="O19" s="48">
        <v>-0.92</v>
      </c>
      <c r="P19" s="47"/>
      <c r="T19" s="26"/>
      <c r="U19" s="26"/>
      <c r="V19" s="26"/>
      <c r="W19" s="26"/>
      <c r="X19" s="26"/>
      <c r="Y19" s="26"/>
      <c r="AA19" s="27"/>
      <c r="AB19" s="27"/>
      <c r="AC19" s="27"/>
    </row>
    <row r="20">
      <c r="A20" s="46">
        <v>-11.303</v>
      </c>
      <c r="B20" s="47">
        <v>0.82</v>
      </c>
      <c r="C20" s="47">
        <v>4.826</v>
      </c>
      <c r="D20" s="47" t="s">
        <v>9</v>
      </c>
      <c r="E20" s="48">
        <v>-0.167</v>
      </c>
      <c r="F20" s="46">
        <v>-3.008</v>
      </c>
      <c r="G20" s="47">
        <v>13.068</v>
      </c>
      <c r="H20" s="47">
        <v>5.203</v>
      </c>
      <c r="I20" s="47" t="s">
        <v>6</v>
      </c>
      <c r="J20" s="48">
        <v>-0.986</v>
      </c>
      <c r="K20" s="46">
        <v>-14.447</v>
      </c>
      <c r="L20" s="47">
        <v>-0.888</v>
      </c>
      <c r="M20" s="47">
        <v>6.68</v>
      </c>
      <c r="N20" s="47" t="s">
        <v>12</v>
      </c>
      <c r="O20" s="48">
        <v>-0.91</v>
      </c>
      <c r="P20" s="47"/>
      <c r="T20" s="26"/>
      <c r="U20" s="26"/>
      <c r="V20" s="26"/>
      <c r="W20" s="26"/>
      <c r="X20" s="26"/>
      <c r="Y20" s="26"/>
      <c r="AA20" s="27"/>
      <c r="AB20" s="27"/>
      <c r="AC20" s="27"/>
    </row>
    <row r="21">
      <c r="A21" s="46">
        <v>22.234</v>
      </c>
      <c r="B21" s="47">
        <v>2.236</v>
      </c>
      <c r="C21" s="47">
        <v>6.223</v>
      </c>
      <c r="D21" s="47" t="s">
        <v>4</v>
      </c>
      <c r="E21" s="48">
        <v>-0.164</v>
      </c>
      <c r="F21" s="46">
        <v>-8.992</v>
      </c>
      <c r="G21" s="47">
        <v>-10.975</v>
      </c>
      <c r="H21" s="47">
        <v>10.102</v>
      </c>
      <c r="I21" s="47" t="s">
        <v>9</v>
      </c>
      <c r="J21" s="48">
        <v>-0.978</v>
      </c>
      <c r="K21" s="46">
        <v>3.244</v>
      </c>
      <c r="L21" s="47">
        <v>13.796</v>
      </c>
      <c r="M21" s="47">
        <v>5.523</v>
      </c>
      <c r="N21" s="47" t="s">
        <v>3</v>
      </c>
      <c r="O21" s="48">
        <v>-0.909</v>
      </c>
      <c r="P21" s="47"/>
      <c r="T21" s="26"/>
      <c r="U21" s="26"/>
      <c r="V21" s="26"/>
      <c r="W21" s="26"/>
      <c r="X21" s="26"/>
      <c r="Y21" s="26"/>
      <c r="AA21" s="27"/>
      <c r="AB21" s="27"/>
      <c r="AC21" s="27"/>
    </row>
    <row r="22">
      <c r="A22" s="46">
        <v>-23.25</v>
      </c>
      <c r="B22" s="47">
        <v>-2.989</v>
      </c>
      <c r="C22" s="47">
        <v>1.871</v>
      </c>
      <c r="D22" s="47" t="s">
        <v>4</v>
      </c>
      <c r="E22" s="48">
        <v>-0.164</v>
      </c>
      <c r="F22" s="46">
        <v>19.833</v>
      </c>
      <c r="G22" s="47">
        <v>-0.393</v>
      </c>
      <c r="H22" s="47">
        <v>1.272</v>
      </c>
      <c r="I22" s="47" t="s">
        <v>4</v>
      </c>
      <c r="J22" s="48">
        <v>-0.977</v>
      </c>
      <c r="K22" s="46">
        <v>-3.876</v>
      </c>
      <c r="L22" s="47">
        <v>2.149</v>
      </c>
      <c r="M22" s="47">
        <v>-8.685</v>
      </c>
      <c r="N22" s="47" t="s">
        <v>11</v>
      </c>
      <c r="O22" s="48">
        <v>-0.906</v>
      </c>
      <c r="P22" s="47"/>
      <c r="T22" s="26"/>
      <c r="U22" s="26"/>
      <c r="V22" s="26"/>
      <c r="W22" s="26"/>
      <c r="X22" s="26"/>
      <c r="Y22" s="26"/>
      <c r="AA22" s="27"/>
      <c r="AB22" s="27"/>
      <c r="AC22" s="27"/>
    </row>
    <row r="23">
      <c r="A23" s="46">
        <v>19.116</v>
      </c>
      <c r="B23" s="47">
        <v>-12.72</v>
      </c>
      <c r="C23" s="47">
        <v>-9.546</v>
      </c>
      <c r="D23" s="47" t="s">
        <v>4</v>
      </c>
      <c r="E23" s="48">
        <v>-0.162</v>
      </c>
      <c r="F23" s="46">
        <v>-14.358</v>
      </c>
      <c r="G23" s="47">
        <v>2.177</v>
      </c>
      <c r="H23" s="47">
        <v>-9.393</v>
      </c>
      <c r="I23" s="47" t="s">
        <v>9</v>
      </c>
      <c r="J23" s="48">
        <v>-0.977</v>
      </c>
      <c r="K23" s="46">
        <v>-5.908</v>
      </c>
      <c r="L23" s="47">
        <v>-9.01</v>
      </c>
      <c r="M23" s="47">
        <v>16.917</v>
      </c>
      <c r="N23" s="47" t="s">
        <v>19</v>
      </c>
      <c r="O23" s="48">
        <v>-0.903</v>
      </c>
      <c r="P23" s="47"/>
      <c r="T23" s="26"/>
      <c r="U23" s="26"/>
      <c r="V23" s="26"/>
      <c r="W23" s="26"/>
      <c r="X23" s="26"/>
      <c r="Y23" s="26"/>
      <c r="AA23" s="27"/>
      <c r="AB23" s="27"/>
      <c r="AC23" s="27"/>
    </row>
    <row r="24">
      <c r="A24" s="46">
        <v>-9.67</v>
      </c>
      <c r="B24" s="47">
        <v>6.59</v>
      </c>
      <c r="C24" s="47">
        <v>18.801</v>
      </c>
      <c r="D24" s="47" t="s">
        <v>6</v>
      </c>
      <c r="E24" s="48">
        <v>-0.161</v>
      </c>
      <c r="F24" s="46">
        <v>-2.754</v>
      </c>
      <c r="G24" s="47">
        <v>24.565</v>
      </c>
      <c r="H24" s="47">
        <v>8.803</v>
      </c>
      <c r="I24" s="47" t="s">
        <v>7</v>
      </c>
      <c r="J24" s="48">
        <v>-0.975</v>
      </c>
      <c r="K24" s="46">
        <v>10.843</v>
      </c>
      <c r="L24" s="47">
        <v>-2.174</v>
      </c>
      <c r="M24" s="47">
        <v>-14.773</v>
      </c>
      <c r="N24" s="47" t="s">
        <v>7</v>
      </c>
      <c r="O24" s="48">
        <v>-0.902</v>
      </c>
      <c r="P24" s="47"/>
      <c r="T24" s="26"/>
      <c r="U24" s="26"/>
      <c r="V24" s="26"/>
      <c r="W24" s="26"/>
      <c r="X24" s="26"/>
      <c r="Y24" s="26"/>
      <c r="AA24" s="27"/>
      <c r="AB24" s="27"/>
      <c r="AC24" s="27"/>
    </row>
    <row r="25">
      <c r="A25" s="46">
        <v>-5.795</v>
      </c>
      <c r="B25" s="47">
        <v>-16.473</v>
      </c>
      <c r="C25" s="47">
        <v>14.33</v>
      </c>
      <c r="D25" s="47" t="s">
        <v>12</v>
      </c>
      <c r="E25" s="48">
        <v>-0.161</v>
      </c>
      <c r="F25" s="46">
        <v>-0.905</v>
      </c>
      <c r="G25" s="47">
        <v>-17.759</v>
      </c>
      <c r="H25" s="47">
        <v>15.872</v>
      </c>
      <c r="I25" s="47" t="s">
        <v>12</v>
      </c>
      <c r="J25" s="48">
        <v>-0.971</v>
      </c>
      <c r="K25" s="46">
        <v>-4.675</v>
      </c>
      <c r="L25" s="47">
        <v>2.353</v>
      </c>
      <c r="M25" s="47">
        <v>12.658</v>
      </c>
      <c r="N25" s="47" t="s">
        <v>12</v>
      </c>
      <c r="O25" s="48">
        <v>-0.9</v>
      </c>
      <c r="P25" s="47"/>
      <c r="T25" s="26"/>
      <c r="U25" s="26"/>
      <c r="V25" s="26"/>
      <c r="W25" s="26"/>
      <c r="X25" s="26"/>
      <c r="Y25" s="26"/>
      <c r="AA25" s="27"/>
      <c r="AB25" s="27"/>
      <c r="AC25" s="27"/>
    </row>
    <row r="26">
      <c r="A26" s="46">
        <v>10.47</v>
      </c>
      <c r="B26" s="47">
        <v>10.234</v>
      </c>
      <c r="C26" s="47">
        <v>-8.134</v>
      </c>
      <c r="D26" s="47" t="s">
        <v>12</v>
      </c>
      <c r="E26" s="48">
        <v>-0.16</v>
      </c>
      <c r="F26" s="46">
        <v>-2.012</v>
      </c>
      <c r="G26" s="47">
        <v>2.983</v>
      </c>
      <c r="H26" s="47">
        <v>2.489</v>
      </c>
      <c r="I26" s="47" t="s">
        <v>4</v>
      </c>
      <c r="J26" s="48">
        <v>-0.967</v>
      </c>
      <c r="K26" s="46">
        <v>-14.614</v>
      </c>
      <c r="L26" s="47">
        <v>-1.253</v>
      </c>
      <c r="M26" s="47">
        <v>6.871</v>
      </c>
      <c r="N26" s="47" t="s">
        <v>5</v>
      </c>
      <c r="O26" s="48">
        <v>-0.9</v>
      </c>
      <c r="P26" s="47"/>
      <c r="T26" s="26"/>
      <c r="U26" s="26"/>
      <c r="V26" s="26"/>
      <c r="W26" s="26"/>
      <c r="X26" s="26"/>
      <c r="Y26" s="26"/>
      <c r="AA26" s="27"/>
      <c r="AB26" s="27"/>
      <c r="AC26" s="27"/>
    </row>
    <row r="27">
      <c r="A27" s="46">
        <v>-0.931</v>
      </c>
      <c r="B27" s="47">
        <v>18.54</v>
      </c>
      <c r="C27" s="47">
        <v>-11.84</v>
      </c>
      <c r="D27" s="47" t="s">
        <v>4</v>
      </c>
      <c r="E27" s="48">
        <v>-0.158</v>
      </c>
      <c r="F27" s="46">
        <v>18.254</v>
      </c>
      <c r="G27" s="47">
        <v>-7.425</v>
      </c>
      <c r="H27" s="47">
        <v>-4.885</v>
      </c>
      <c r="I27" s="47" t="s">
        <v>15</v>
      </c>
      <c r="J27" s="48">
        <v>-0.96</v>
      </c>
      <c r="K27" s="56">
        <v>-4.654</v>
      </c>
      <c r="L27" s="57">
        <v>3.113</v>
      </c>
      <c r="M27" s="57">
        <v>10.773</v>
      </c>
      <c r="N27" s="57" t="s">
        <v>15</v>
      </c>
      <c r="O27" s="58">
        <v>-0.895</v>
      </c>
      <c r="P27" s="47"/>
      <c r="T27" s="26"/>
      <c r="U27" s="26"/>
      <c r="V27" s="26"/>
      <c r="W27" s="26"/>
      <c r="X27" s="26"/>
      <c r="Y27" s="26"/>
      <c r="AA27" s="27"/>
      <c r="AB27" s="27"/>
      <c r="AC27" s="27"/>
    </row>
    <row r="28">
      <c r="A28" s="46">
        <v>5.972</v>
      </c>
      <c r="B28" s="47">
        <v>-10.493</v>
      </c>
      <c r="C28" s="47">
        <v>20.774</v>
      </c>
      <c r="D28" s="47" t="s">
        <v>15</v>
      </c>
      <c r="E28" s="48">
        <v>-0.157</v>
      </c>
      <c r="F28" s="46">
        <v>-3.168</v>
      </c>
      <c r="G28" s="47">
        <v>2.85</v>
      </c>
      <c r="H28" s="47">
        <v>4.377</v>
      </c>
      <c r="I28" s="47" t="s">
        <v>9</v>
      </c>
      <c r="J28" s="48">
        <v>-0.956</v>
      </c>
      <c r="K28" s="56">
        <v>2.947</v>
      </c>
      <c r="L28" s="57">
        <v>13.843</v>
      </c>
      <c r="M28" s="57">
        <v>8.025</v>
      </c>
      <c r="N28" s="57" t="s">
        <v>10</v>
      </c>
      <c r="O28" s="58">
        <v>-0.89</v>
      </c>
      <c r="P28" s="47"/>
      <c r="T28" s="26"/>
      <c r="U28" s="26"/>
      <c r="V28" s="26"/>
      <c r="W28" s="26"/>
      <c r="X28" s="26"/>
      <c r="Y28" s="26"/>
      <c r="AA28" s="27"/>
      <c r="AB28" s="27"/>
      <c r="AC28" s="27"/>
    </row>
    <row r="29">
      <c r="A29" s="46">
        <v>-9.904</v>
      </c>
      <c r="B29" s="47">
        <v>7.263</v>
      </c>
      <c r="C29" s="47">
        <v>18.796</v>
      </c>
      <c r="D29" s="47" t="s">
        <v>8</v>
      </c>
      <c r="E29" s="48">
        <v>-0.156</v>
      </c>
      <c r="F29" s="46">
        <v>-7.287</v>
      </c>
      <c r="G29" s="47">
        <v>-19.701</v>
      </c>
      <c r="H29" s="47">
        <v>2.673</v>
      </c>
      <c r="I29" s="47" t="s">
        <v>10</v>
      </c>
      <c r="J29" s="48">
        <v>-0.953</v>
      </c>
      <c r="K29" s="56">
        <v>0.143</v>
      </c>
      <c r="L29" s="57">
        <v>-3.894</v>
      </c>
      <c r="M29" s="57">
        <v>-3.812</v>
      </c>
      <c r="N29" s="57" t="s">
        <v>2</v>
      </c>
      <c r="O29" s="58">
        <v>-0.886</v>
      </c>
      <c r="P29" s="47"/>
      <c r="T29" s="26"/>
      <c r="U29" s="26"/>
      <c r="V29" s="26"/>
      <c r="W29" s="26"/>
      <c r="X29" s="26"/>
      <c r="Y29" s="26"/>
      <c r="AA29" s="27"/>
      <c r="AB29" s="27"/>
      <c r="AC29" s="27"/>
    </row>
    <row r="30">
      <c r="A30" s="46">
        <v>17.857</v>
      </c>
      <c r="B30" s="47">
        <v>-16.178</v>
      </c>
      <c r="C30" s="47">
        <v>13.824</v>
      </c>
      <c r="D30" s="47" t="s">
        <v>13</v>
      </c>
      <c r="E30" s="48">
        <v>-0.156</v>
      </c>
      <c r="F30" s="46">
        <v>3.4</v>
      </c>
      <c r="G30" s="47">
        <v>-25.129</v>
      </c>
      <c r="H30" s="47">
        <v>2.086</v>
      </c>
      <c r="I30" s="47" t="s">
        <v>10</v>
      </c>
      <c r="J30" s="48">
        <v>-0.95</v>
      </c>
      <c r="K30" s="56">
        <v>2.015</v>
      </c>
      <c r="L30" s="57">
        <v>21.492</v>
      </c>
      <c r="M30" s="57">
        <v>3.176</v>
      </c>
      <c r="N30" s="57" t="s">
        <v>14</v>
      </c>
      <c r="O30" s="58">
        <v>-0.883</v>
      </c>
      <c r="P30" s="47"/>
      <c r="T30" s="26"/>
      <c r="U30" s="26"/>
      <c r="V30" s="26"/>
      <c r="W30" s="26"/>
      <c r="X30" s="26"/>
      <c r="Y30" s="26"/>
      <c r="AA30" s="27"/>
      <c r="AB30" s="27"/>
      <c r="AC30" s="27"/>
    </row>
    <row r="31">
      <c r="A31" s="46">
        <v>-5.857</v>
      </c>
      <c r="B31" s="47">
        <v>-13.405</v>
      </c>
      <c r="C31" s="47">
        <v>4.04</v>
      </c>
      <c r="D31" s="47" t="s">
        <v>10</v>
      </c>
      <c r="E31" s="48">
        <v>-0.156</v>
      </c>
      <c r="F31" s="46">
        <v>-1.015</v>
      </c>
      <c r="G31" s="47">
        <v>12.818</v>
      </c>
      <c r="H31" s="47">
        <v>6.664</v>
      </c>
      <c r="I31" s="47" t="s">
        <v>16</v>
      </c>
      <c r="J31" s="48">
        <v>-0.943</v>
      </c>
      <c r="K31" s="46">
        <v>17.944</v>
      </c>
      <c r="L31" s="47">
        <v>0.146</v>
      </c>
      <c r="M31" s="47">
        <v>1.09</v>
      </c>
      <c r="N31" s="47" t="s">
        <v>9</v>
      </c>
      <c r="O31" s="48">
        <v>-0.878</v>
      </c>
      <c r="T31" s="26"/>
      <c r="U31" s="26"/>
      <c r="V31" s="26"/>
      <c r="W31" s="26"/>
      <c r="X31" s="26"/>
      <c r="Y31" s="26"/>
      <c r="AA31" s="27"/>
      <c r="AB31" s="27"/>
      <c r="AC31" s="27"/>
    </row>
    <row r="32">
      <c r="A32" s="46">
        <v>-9.604</v>
      </c>
      <c r="B32" s="47">
        <v>7.009</v>
      </c>
      <c r="C32" s="47">
        <v>18.817</v>
      </c>
      <c r="D32" s="47" t="s">
        <v>5</v>
      </c>
      <c r="E32" s="48">
        <v>-0.155</v>
      </c>
      <c r="F32" s="46">
        <v>1.337</v>
      </c>
      <c r="G32" s="47">
        <v>12.521</v>
      </c>
      <c r="H32" s="47">
        <v>15.578</v>
      </c>
      <c r="I32" s="47" t="s">
        <v>11</v>
      </c>
      <c r="J32" s="48">
        <v>-0.939</v>
      </c>
      <c r="K32" s="46">
        <v>-6.598</v>
      </c>
      <c r="L32" s="47">
        <v>20.97</v>
      </c>
      <c r="M32" s="47">
        <v>5.648</v>
      </c>
      <c r="N32" s="47" t="s">
        <v>7</v>
      </c>
      <c r="O32" s="48">
        <v>-0.874</v>
      </c>
      <c r="T32" s="26"/>
      <c r="U32" s="26"/>
      <c r="V32" s="26"/>
      <c r="W32" s="26"/>
      <c r="X32" s="26"/>
      <c r="Y32" s="26"/>
      <c r="AA32" s="27"/>
      <c r="AB32" s="27"/>
      <c r="AC32" s="27"/>
    </row>
    <row r="33">
      <c r="A33" s="46">
        <v>12.039</v>
      </c>
      <c r="B33" s="47">
        <v>3.697</v>
      </c>
      <c r="C33" s="47">
        <v>-18.074</v>
      </c>
      <c r="D33" s="47" t="s">
        <v>3</v>
      </c>
      <c r="E33" s="48">
        <v>-0.148</v>
      </c>
      <c r="F33" s="46">
        <v>-3.595</v>
      </c>
      <c r="G33" s="47">
        <v>8.256</v>
      </c>
      <c r="H33" s="47">
        <v>-16.993</v>
      </c>
      <c r="I33" s="47" t="s">
        <v>16</v>
      </c>
      <c r="J33" s="48">
        <v>-0.939</v>
      </c>
      <c r="K33" s="46">
        <v>0.01</v>
      </c>
      <c r="L33" s="47">
        <v>-4.677</v>
      </c>
      <c r="M33" s="47">
        <v>-3.344</v>
      </c>
      <c r="N33" s="47" t="s">
        <v>8</v>
      </c>
      <c r="O33" s="48">
        <v>-0.869</v>
      </c>
      <c r="T33" s="26"/>
      <c r="U33" s="26"/>
      <c r="V33" s="26"/>
      <c r="W33" s="26"/>
      <c r="X33" s="26"/>
      <c r="Y33" s="26"/>
      <c r="AA33" s="27"/>
      <c r="AB33" s="27"/>
      <c r="AC33" s="27"/>
    </row>
    <row r="34">
      <c r="A34" s="59">
        <v>18.192</v>
      </c>
      <c r="B34" s="60">
        <v>-16.269</v>
      </c>
      <c r="C34" s="60">
        <v>13.927</v>
      </c>
      <c r="D34" s="60" t="s">
        <v>9</v>
      </c>
      <c r="E34" s="61">
        <v>-0.148</v>
      </c>
      <c r="F34" s="59">
        <v>-17.943</v>
      </c>
      <c r="G34" s="60">
        <v>-5.618</v>
      </c>
      <c r="H34" s="60">
        <v>1.018</v>
      </c>
      <c r="I34" s="60" t="s">
        <v>4</v>
      </c>
      <c r="J34" s="61">
        <v>-0.937</v>
      </c>
      <c r="K34" s="59">
        <v>4.453</v>
      </c>
      <c r="L34" s="60">
        <v>-21.836</v>
      </c>
      <c r="M34" s="60">
        <v>12.615</v>
      </c>
      <c r="N34" s="60" t="s">
        <v>17</v>
      </c>
      <c r="O34" s="61">
        <v>-0.868</v>
      </c>
      <c r="T34" s="26"/>
      <c r="U34" s="26"/>
      <c r="V34" s="26"/>
      <c r="W34" s="26"/>
      <c r="X34" s="26"/>
      <c r="Y34" s="26"/>
      <c r="AA34" s="27"/>
      <c r="AB34" s="27"/>
      <c r="AC34" s="27"/>
    </row>
    <row r="35">
      <c r="A35" s="12" t="s">
        <v>34</v>
      </c>
      <c r="B35" s="12"/>
      <c r="C35" s="12"/>
      <c r="D35" s="13"/>
      <c r="E35" s="13"/>
      <c r="F35" s="14" t="s">
        <v>35</v>
      </c>
      <c r="G35" s="14"/>
      <c r="H35" s="14"/>
      <c r="I35" s="13"/>
      <c r="J35" s="13"/>
      <c r="K35" s="14" t="s">
        <v>36</v>
      </c>
      <c r="L35" s="14"/>
      <c r="M35" s="14"/>
      <c r="N35" s="13"/>
      <c r="O35" s="13"/>
      <c r="T35" s="26"/>
      <c r="U35" s="26"/>
      <c r="V35" s="26"/>
      <c r="W35" s="26"/>
      <c r="X35" s="26"/>
      <c r="Y35" s="26"/>
      <c r="AA35" s="27"/>
      <c r="AB35" s="27"/>
      <c r="AC35" s="27"/>
    </row>
    <row r="36">
      <c r="A36" s="20" t="s">
        <v>37</v>
      </c>
      <c r="B36" s="21" t="s">
        <v>38</v>
      </c>
      <c r="C36" s="21" t="s">
        <v>39</v>
      </c>
      <c r="D36" s="21" t="s">
        <v>40</v>
      </c>
      <c r="E36" s="22" t="s">
        <v>41</v>
      </c>
      <c r="F36" s="20" t="s">
        <v>37</v>
      </c>
      <c r="G36" s="21" t="s">
        <v>38</v>
      </c>
      <c r="H36" s="21" t="s">
        <v>39</v>
      </c>
      <c r="I36" s="21" t="s">
        <v>40</v>
      </c>
      <c r="J36" s="22" t="s">
        <v>41</v>
      </c>
      <c r="K36" s="20" t="s">
        <v>37</v>
      </c>
      <c r="L36" s="21" t="s">
        <v>38</v>
      </c>
      <c r="M36" s="21" t="s">
        <v>39</v>
      </c>
      <c r="N36" s="21" t="s">
        <v>40</v>
      </c>
      <c r="O36" s="22" t="s">
        <v>41</v>
      </c>
      <c r="T36" s="26"/>
      <c r="U36" s="26"/>
      <c r="V36" s="26"/>
      <c r="W36" s="26"/>
      <c r="X36" s="26"/>
      <c r="Y36" s="26"/>
      <c r="AA36" s="27"/>
      <c r="AB36" s="27"/>
      <c r="AC36" s="27"/>
    </row>
    <row r="37">
      <c r="A37" s="28">
        <v>-5.958</v>
      </c>
      <c r="B37" s="29">
        <v>-22.149</v>
      </c>
      <c r="C37" s="29">
        <v>-9.104</v>
      </c>
      <c r="D37" s="29" t="s">
        <v>6</v>
      </c>
      <c r="E37" s="30">
        <v>-1.191</v>
      </c>
      <c r="F37" s="28">
        <v>2.947</v>
      </c>
      <c r="G37" s="29">
        <v>13.843</v>
      </c>
      <c r="H37" s="29">
        <v>8.025</v>
      </c>
      <c r="I37" s="29" t="s">
        <v>10</v>
      </c>
      <c r="J37" s="30">
        <v>-1.402</v>
      </c>
      <c r="K37" s="28">
        <v>3.565</v>
      </c>
      <c r="L37" s="29">
        <v>-21.51</v>
      </c>
      <c r="M37" s="29">
        <v>12.105</v>
      </c>
      <c r="N37" s="29" t="s">
        <v>17</v>
      </c>
      <c r="O37" s="30">
        <v>-0.851</v>
      </c>
      <c r="T37" s="26"/>
      <c r="U37" s="26"/>
      <c r="V37" s="26"/>
      <c r="W37" s="26"/>
      <c r="X37" s="26"/>
      <c r="Y37" s="26"/>
      <c r="AA37" s="27"/>
      <c r="AB37" s="27"/>
      <c r="AC37" s="27"/>
    </row>
    <row r="38">
      <c r="A38" s="33">
        <v>1.107</v>
      </c>
      <c r="B38" s="34">
        <v>21.172</v>
      </c>
      <c r="C38" s="34">
        <v>3.397</v>
      </c>
      <c r="D38" s="34" t="s">
        <v>2</v>
      </c>
      <c r="E38" s="35">
        <v>-1.175</v>
      </c>
      <c r="F38" s="33">
        <v>2.79</v>
      </c>
      <c r="G38" s="34">
        <v>-21.421</v>
      </c>
      <c r="H38" s="34">
        <v>11.992</v>
      </c>
      <c r="I38" s="34" t="s">
        <v>6</v>
      </c>
      <c r="J38" s="35">
        <v>-1.368</v>
      </c>
      <c r="K38" s="33">
        <v>10.762</v>
      </c>
      <c r="L38" s="34">
        <v>-1.868</v>
      </c>
      <c r="M38" s="34">
        <v>-14.368</v>
      </c>
      <c r="N38" s="34" t="s">
        <v>8</v>
      </c>
      <c r="O38" s="35">
        <v>-0.847</v>
      </c>
      <c r="T38" s="26"/>
      <c r="U38" s="26"/>
      <c r="V38" s="26"/>
      <c r="W38" s="26"/>
      <c r="X38" s="26"/>
      <c r="Y38" s="26"/>
      <c r="AA38" s="27"/>
      <c r="AB38" s="27"/>
      <c r="AC38" s="27"/>
    </row>
    <row r="39">
      <c r="A39" s="33">
        <v>-5.657</v>
      </c>
      <c r="B39" s="34">
        <v>-22.268</v>
      </c>
      <c r="C39" s="34">
        <v>-9.135</v>
      </c>
      <c r="D39" s="34" t="s">
        <v>7</v>
      </c>
      <c r="E39" s="35">
        <v>-1.153</v>
      </c>
      <c r="F39" s="33">
        <v>2.649</v>
      </c>
      <c r="G39" s="34">
        <v>13.89</v>
      </c>
      <c r="H39" s="34">
        <v>7.462</v>
      </c>
      <c r="I39" s="34" t="s">
        <v>2</v>
      </c>
      <c r="J39" s="35">
        <v>-1.367</v>
      </c>
      <c r="K39" s="33">
        <v>1.107</v>
      </c>
      <c r="L39" s="34">
        <v>21.172</v>
      </c>
      <c r="M39" s="34">
        <v>3.397</v>
      </c>
      <c r="N39" s="34" t="s">
        <v>2</v>
      </c>
      <c r="O39" s="35">
        <v>-0.825</v>
      </c>
      <c r="T39" s="26"/>
      <c r="U39" s="26"/>
      <c r="V39" s="26"/>
      <c r="W39" s="26"/>
      <c r="X39" s="26"/>
      <c r="Y39" s="26"/>
      <c r="AA39" s="27"/>
      <c r="AB39" s="27"/>
      <c r="AC39" s="27"/>
    </row>
    <row r="40">
      <c r="A40" s="33">
        <v>3.417</v>
      </c>
      <c r="B40" s="34">
        <v>10.976</v>
      </c>
      <c r="C40" s="34">
        <v>-10.369</v>
      </c>
      <c r="D40" s="34" t="s">
        <v>2</v>
      </c>
      <c r="E40" s="35">
        <v>-1.138</v>
      </c>
      <c r="F40" s="33">
        <v>-14.614</v>
      </c>
      <c r="G40" s="34">
        <v>-1.253</v>
      </c>
      <c r="H40" s="34">
        <v>6.871</v>
      </c>
      <c r="I40" s="34" t="s">
        <v>5</v>
      </c>
      <c r="J40" s="35">
        <v>-1.361</v>
      </c>
      <c r="K40" s="33">
        <v>-6.255</v>
      </c>
      <c r="L40" s="34">
        <v>20.747</v>
      </c>
      <c r="M40" s="34">
        <v>6.826</v>
      </c>
      <c r="N40" s="34" t="s">
        <v>7</v>
      </c>
      <c r="O40" s="35">
        <v>-0.801</v>
      </c>
      <c r="T40" s="26"/>
      <c r="U40" s="26"/>
      <c r="V40" s="26"/>
      <c r="W40" s="26"/>
      <c r="X40" s="26"/>
      <c r="Y40" s="26"/>
      <c r="AA40" s="27"/>
      <c r="AB40" s="27"/>
      <c r="AC40" s="27"/>
    </row>
    <row r="41">
      <c r="A41" s="33">
        <v>-18.717</v>
      </c>
      <c r="B41" s="34">
        <v>-3.891</v>
      </c>
      <c r="C41" s="34">
        <v>-8.046</v>
      </c>
      <c r="D41" s="34" t="s">
        <v>7</v>
      </c>
      <c r="E41" s="35">
        <v>-1.127</v>
      </c>
      <c r="F41" s="33">
        <v>2.763</v>
      </c>
      <c r="G41" s="34">
        <v>-21.539</v>
      </c>
      <c r="H41" s="34">
        <v>12.001</v>
      </c>
      <c r="I41" s="34" t="s">
        <v>10</v>
      </c>
      <c r="J41" s="35">
        <v>-1.357</v>
      </c>
      <c r="K41" s="33">
        <v>-4.136</v>
      </c>
      <c r="L41" s="34">
        <v>1.205</v>
      </c>
      <c r="M41" s="34">
        <v>13.22</v>
      </c>
      <c r="N41" s="34" t="s">
        <v>12</v>
      </c>
      <c r="O41" s="35">
        <v>-0.793</v>
      </c>
      <c r="T41" s="26"/>
      <c r="U41" s="26"/>
      <c r="V41" s="26"/>
      <c r="W41" s="26"/>
      <c r="X41" s="26"/>
      <c r="Y41" s="26"/>
      <c r="AA41" s="27"/>
      <c r="AB41" s="27"/>
      <c r="AC41" s="27"/>
    </row>
    <row r="42">
      <c r="A42" s="33">
        <v>-6.255</v>
      </c>
      <c r="B42" s="34">
        <v>20.747</v>
      </c>
      <c r="C42" s="34">
        <v>6.826</v>
      </c>
      <c r="D42" s="34" t="s">
        <v>7</v>
      </c>
      <c r="E42" s="35">
        <v>-1.125</v>
      </c>
      <c r="F42" s="33">
        <v>-12.093</v>
      </c>
      <c r="G42" s="34">
        <v>-1.962</v>
      </c>
      <c r="H42" s="34">
        <v>-10.631</v>
      </c>
      <c r="I42" s="34" t="s">
        <v>18</v>
      </c>
      <c r="J42" s="35">
        <v>-1.323</v>
      </c>
      <c r="K42" s="33">
        <v>-6.493</v>
      </c>
      <c r="L42" s="34">
        <v>20.708</v>
      </c>
      <c r="M42" s="34">
        <v>6.454</v>
      </c>
      <c r="N42" s="34" t="s">
        <v>4</v>
      </c>
      <c r="O42" s="35">
        <v>-0.773</v>
      </c>
      <c r="T42" s="26"/>
      <c r="U42" s="26"/>
      <c r="V42" s="26"/>
      <c r="W42" s="26"/>
      <c r="X42" s="26"/>
      <c r="Y42" s="26"/>
      <c r="AA42" s="27"/>
      <c r="AB42" s="27"/>
      <c r="AC42" s="27"/>
    </row>
    <row r="43">
      <c r="A43" s="33">
        <v>2.024</v>
      </c>
      <c r="B43" s="34">
        <v>12.392</v>
      </c>
      <c r="C43" s="34">
        <v>16.171</v>
      </c>
      <c r="D43" s="34" t="s">
        <v>11</v>
      </c>
      <c r="E43" s="35">
        <v>-1.123</v>
      </c>
      <c r="F43" s="33">
        <v>3.275</v>
      </c>
      <c r="G43" s="34">
        <v>10.131</v>
      </c>
      <c r="H43" s="34">
        <v>-10.847</v>
      </c>
      <c r="I43" s="34" t="s">
        <v>5</v>
      </c>
      <c r="J43" s="35">
        <v>-1.321</v>
      </c>
      <c r="K43" s="33">
        <v>11.213</v>
      </c>
      <c r="L43" s="34">
        <v>-1.391</v>
      </c>
      <c r="M43" s="34">
        <v>-14.735</v>
      </c>
      <c r="N43" s="34" t="s">
        <v>7</v>
      </c>
      <c r="O43" s="35">
        <v>-0.741</v>
      </c>
      <c r="T43" s="26"/>
      <c r="U43" s="26"/>
      <c r="V43" s="26"/>
      <c r="W43" s="26"/>
      <c r="X43" s="26"/>
      <c r="Y43" s="26"/>
      <c r="AA43" s="27"/>
      <c r="AB43" s="27"/>
      <c r="AC43" s="27"/>
    </row>
    <row r="44">
      <c r="A44" s="38">
        <v>-6.493</v>
      </c>
      <c r="B44" s="39">
        <v>20.708</v>
      </c>
      <c r="C44" s="39">
        <v>6.454</v>
      </c>
      <c r="D44" s="40" t="s">
        <v>4</v>
      </c>
      <c r="E44" s="41">
        <v>-1.12</v>
      </c>
      <c r="F44" s="33">
        <v>3.465</v>
      </c>
      <c r="G44" s="34">
        <v>11.662</v>
      </c>
      <c r="H44" s="34">
        <v>7.726</v>
      </c>
      <c r="I44" s="34" t="s">
        <v>16</v>
      </c>
      <c r="J44" s="35">
        <v>-1.304</v>
      </c>
      <c r="K44" s="33">
        <v>18.849</v>
      </c>
      <c r="L44" s="34">
        <v>4.094</v>
      </c>
      <c r="M44" s="34">
        <v>1.968</v>
      </c>
      <c r="N44" s="34" t="s">
        <v>5</v>
      </c>
      <c r="O44" s="35">
        <v>-0.738</v>
      </c>
      <c r="T44" s="26"/>
      <c r="U44" s="26"/>
      <c r="V44" s="26"/>
      <c r="W44" s="26"/>
      <c r="X44" s="26"/>
      <c r="Y44" s="26"/>
      <c r="AA44" s="27"/>
      <c r="AB44" s="27"/>
      <c r="AC44" s="27"/>
    </row>
    <row r="45">
      <c r="A45" s="38">
        <v>3.565</v>
      </c>
      <c r="B45" s="39">
        <v>-21.51</v>
      </c>
      <c r="C45" s="39">
        <v>12.105</v>
      </c>
      <c r="D45" s="40" t="s">
        <v>17</v>
      </c>
      <c r="E45" s="41">
        <v>-1.081</v>
      </c>
      <c r="F45" s="33">
        <v>1.471</v>
      </c>
      <c r="G45" s="34">
        <v>12.444</v>
      </c>
      <c r="H45" s="34">
        <v>15.884</v>
      </c>
      <c r="I45" s="34" t="s">
        <v>11</v>
      </c>
      <c r="J45" s="35">
        <v>-1.304</v>
      </c>
      <c r="K45" s="33">
        <v>-2.516</v>
      </c>
      <c r="L45" s="34">
        <v>-8.267</v>
      </c>
      <c r="M45" s="34">
        <v>19.134</v>
      </c>
      <c r="N45" s="34" t="s">
        <v>10</v>
      </c>
      <c r="O45" s="35">
        <v>-0.728</v>
      </c>
      <c r="T45" s="26"/>
      <c r="U45" s="26"/>
      <c r="V45" s="26"/>
      <c r="W45" s="26"/>
      <c r="X45" s="26"/>
      <c r="Y45" s="26"/>
      <c r="AA45" s="27"/>
      <c r="AB45" s="27"/>
      <c r="AC45" s="27"/>
    </row>
    <row r="46">
      <c r="A46" s="38">
        <v>-14.064</v>
      </c>
      <c r="B46" s="39">
        <v>-7.808</v>
      </c>
      <c r="C46" s="39">
        <v>-13.948</v>
      </c>
      <c r="D46" s="40" t="s">
        <v>7</v>
      </c>
      <c r="E46" s="41">
        <v>-1.071</v>
      </c>
      <c r="F46" s="33">
        <v>1.87</v>
      </c>
      <c r="G46" s="34">
        <v>-6.083</v>
      </c>
      <c r="H46" s="34">
        <v>-4.821</v>
      </c>
      <c r="I46" s="34" t="s">
        <v>2</v>
      </c>
      <c r="J46" s="35">
        <v>-1.299</v>
      </c>
      <c r="K46" s="33">
        <v>2.024</v>
      </c>
      <c r="L46" s="34">
        <v>12.392</v>
      </c>
      <c r="M46" s="34">
        <v>16.171</v>
      </c>
      <c r="N46" s="34" t="s">
        <v>11</v>
      </c>
      <c r="O46" s="35">
        <v>-0.728</v>
      </c>
      <c r="T46" s="26"/>
      <c r="U46" s="26"/>
      <c r="V46" s="26"/>
      <c r="W46" s="26"/>
      <c r="X46" s="26"/>
      <c r="Y46" s="26"/>
      <c r="AA46" s="27"/>
      <c r="AB46" s="27"/>
      <c r="AC46" s="27"/>
    </row>
    <row r="47">
      <c r="A47" s="42">
        <v>2.947</v>
      </c>
      <c r="B47" s="43">
        <v>13.843</v>
      </c>
      <c r="C47" s="43">
        <v>8.025</v>
      </c>
      <c r="D47" s="44" t="s">
        <v>10</v>
      </c>
      <c r="E47" s="45">
        <v>-1.057</v>
      </c>
      <c r="F47" s="46">
        <v>3.565</v>
      </c>
      <c r="G47" s="47">
        <v>-21.51</v>
      </c>
      <c r="H47" s="47">
        <v>12.105</v>
      </c>
      <c r="I47" s="47" t="s">
        <v>17</v>
      </c>
      <c r="J47" s="48">
        <v>-1.298</v>
      </c>
      <c r="K47" s="46">
        <v>3.417</v>
      </c>
      <c r="L47" s="47">
        <v>10.976</v>
      </c>
      <c r="M47" s="47">
        <v>-10.369</v>
      </c>
      <c r="N47" s="47" t="s">
        <v>2</v>
      </c>
      <c r="O47" s="48">
        <v>-0.722</v>
      </c>
      <c r="T47" s="26"/>
      <c r="U47" s="26"/>
      <c r="V47" s="26"/>
      <c r="W47" s="26"/>
      <c r="X47" s="26"/>
      <c r="Y47" s="26"/>
      <c r="AA47" s="27"/>
      <c r="AB47" s="27"/>
      <c r="AC47" s="27"/>
    </row>
    <row r="48">
      <c r="A48" s="42">
        <v>10.762</v>
      </c>
      <c r="B48" s="43">
        <v>-1.868</v>
      </c>
      <c r="C48" s="43">
        <v>-14.368</v>
      </c>
      <c r="D48" s="44" t="s">
        <v>8</v>
      </c>
      <c r="E48" s="45">
        <v>-1.036</v>
      </c>
      <c r="F48" s="46">
        <v>2.097</v>
      </c>
      <c r="G48" s="47">
        <v>-6.224</v>
      </c>
      <c r="H48" s="47">
        <v>-4.969</v>
      </c>
      <c r="I48" s="47" t="s">
        <v>14</v>
      </c>
      <c r="J48" s="48">
        <v>-1.289</v>
      </c>
      <c r="K48" s="46">
        <v>-3.947</v>
      </c>
      <c r="L48" s="47">
        <v>-13.714</v>
      </c>
      <c r="M48" s="47">
        <v>-17.182</v>
      </c>
      <c r="N48" s="47" t="s">
        <v>17</v>
      </c>
      <c r="O48" s="48">
        <v>-0.714</v>
      </c>
      <c r="T48" s="26"/>
      <c r="U48" s="26"/>
      <c r="V48" s="26"/>
      <c r="W48" s="26"/>
      <c r="X48" s="26"/>
      <c r="Y48" s="26"/>
      <c r="AA48" s="27"/>
      <c r="AB48" s="27"/>
      <c r="AC48" s="27"/>
    </row>
    <row r="49">
      <c r="A49" s="46">
        <v>3.275</v>
      </c>
      <c r="B49" s="47">
        <v>10.131</v>
      </c>
      <c r="C49" s="47">
        <v>-10.847</v>
      </c>
      <c r="D49" s="47" t="s">
        <v>5</v>
      </c>
      <c r="E49" s="48">
        <v>-1.035</v>
      </c>
      <c r="F49" s="46">
        <v>-5.958</v>
      </c>
      <c r="G49" s="47">
        <v>-22.149</v>
      </c>
      <c r="H49" s="47">
        <v>-9.104</v>
      </c>
      <c r="I49" s="47" t="s">
        <v>6</v>
      </c>
      <c r="J49" s="48">
        <v>-1.285</v>
      </c>
      <c r="K49" s="51">
        <v>-6.435</v>
      </c>
      <c r="L49" s="52">
        <v>7.593</v>
      </c>
      <c r="M49" s="52">
        <v>-19.896</v>
      </c>
      <c r="N49" s="62" t="s">
        <v>7</v>
      </c>
      <c r="O49" s="63">
        <v>-0.71</v>
      </c>
      <c r="T49" s="26"/>
      <c r="U49" s="26"/>
      <c r="V49" s="26"/>
      <c r="W49" s="26"/>
      <c r="X49" s="26"/>
      <c r="Y49" s="26"/>
      <c r="AA49" s="27"/>
      <c r="AB49" s="27"/>
      <c r="AC49" s="27"/>
    </row>
    <row r="50">
      <c r="A50" s="46">
        <v>-4.136</v>
      </c>
      <c r="B50" s="47">
        <v>1.205</v>
      </c>
      <c r="C50" s="47">
        <v>13.22</v>
      </c>
      <c r="D50" s="47" t="s">
        <v>12</v>
      </c>
      <c r="E50" s="48">
        <v>-1.018</v>
      </c>
      <c r="F50" s="46">
        <v>3.244</v>
      </c>
      <c r="G50" s="47">
        <v>13.796</v>
      </c>
      <c r="H50" s="47">
        <v>5.523</v>
      </c>
      <c r="I50" s="47" t="s">
        <v>3</v>
      </c>
      <c r="J50" s="48">
        <v>-1.285</v>
      </c>
      <c r="K50" s="46">
        <v>-9.104</v>
      </c>
      <c r="L50" s="47">
        <v>-12.315</v>
      </c>
      <c r="M50" s="47">
        <v>0.578</v>
      </c>
      <c r="N50" s="47" t="s">
        <v>5</v>
      </c>
      <c r="O50" s="48">
        <v>-0.71</v>
      </c>
      <c r="T50" s="26"/>
      <c r="U50" s="26"/>
      <c r="V50" s="26"/>
      <c r="W50" s="26"/>
      <c r="X50" s="26"/>
      <c r="Y50" s="26"/>
      <c r="AA50" s="27"/>
      <c r="AB50" s="27"/>
      <c r="AC50" s="27"/>
    </row>
    <row r="51">
      <c r="A51" s="46">
        <v>2.79</v>
      </c>
      <c r="B51" s="47">
        <v>-21.421</v>
      </c>
      <c r="C51" s="47">
        <v>11.992</v>
      </c>
      <c r="D51" s="47" t="s">
        <v>6</v>
      </c>
      <c r="E51" s="48">
        <v>-1.012</v>
      </c>
      <c r="F51" s="46">
        <v>-17.231</v>
      </c>
      <c r="G51" s="47">
        <v>-6.736</v>
      </c>
      <c r="H51" s="47">
        <v>0.276</v>
      </c>
      <c r="I51" s="47" t="s">
        <v>4</v>
      </c>
      <c r="J51" s="48">
        <v>-1.283</v>
      </c>
      <c r="K51" s="46">
        <v>-17.77</v>
      </c>
      <c r="L51" s="47">
        <v>-11.743</v>
      </c>
      <c r="M51" s="47">
        <v>6.36</v>
      </c>
      <c r="N51" s="47" t="s">
        <v>10</v>
      </c>
      <c r="O51" s="48">
        <v>-0.694</v>
      </c>
      <c r="T51" s="26"/>
      <c r="U51" s="26"/>
      <c r="V51" s="26"/>
      <c r="W51" s="26"/>
      <c r="X51" s="26"/>
      <c r="Y51" s="26"/>
      <c r="AA51" s="27"/>
      <c r="AB51" s="27"/>
      <c r="AC51" s="27"/>
    </row>
    <row r="52">
      <c r="A52" s="46">
        <v>3.071</v>
      </c>
      <c r="B52" s="47">
        <v>10.484</v>
      </c>
      <c r="C52" s="47">
        <v>17.108</v>
      </c>
      <c r="D52" s="47" t="s">
        <v>6</v>
      </c>
      <c r="E52" s="48">
        <v>-1.007</v>
      </c>
      <c r="F52" s="46">
        <v>-0.334</v>
      </c>
      <c r="G52" s="47">
        <v>-4.175</v>
      </c>
      <c r="H52" s="47">
        <v>-2.923</v>
      </c>
      <c r="I52" s="47" t="s">
        <v>23</v>
      </c>
      <c r="J52" s="48">
        <v>-1.283</v>
      </c>
      <c r="K52" s="46">
        <v>-3.646</v>
      </c>
      <c r="L52" s="47">
        <v>0.006</v>
      </c>
      <c r="M52" s="47">
        <v>13.641</v>
      </c>
      <c r="N52" s="47" t="s">
        <v>19</v>
      </c>
      <c r="O52" s="48">
        <v>-0.681</v>
      </c>
      <c r="T52" s="26"/>
      <c r="U52" s="26"/>
      <c r="V52" s="26"/>
      <c r="W52" s="26"/>
      <c r="X52" s="26"/>
      <c r="Y52" s="26"/>
      <c r="AA52" s="27"/>
      <c r="AB52" s="27"/>
      <c r="AC52" s="27"/>
    </row>
    <row r="53">
      <c r="A53" s="46">
        <v>2.763</v>
      </c>
      <c r="B53" s="47">
        <v>-21.539</v>
      </c>
      <c r="C53" s="47">
        <v>12.001</v>
      </c>
      <c r="D53" s="47" t="s">
        <v>10</v>
      </c>
      <c r="E53" s="48">
        <v>-0.999</v>
      </c>
      <c r="F53" s="46">
        <v>3.105</v>
      </c>
      <c r="G53" s="47">
        <v>10.895</v>
      </c>
      <c r="H53" s="47">
        <v>-10.981</v>
      </c>
      <c r="I53" s="47" t="s">
        <v>2</v>
      </c>
      <c r="J53" s="48">
        <v>-1.279</v>
      </c>
      <c r="K53" s="46">
        <v>5.944</v>
      </c>
      <c r="L53" s="47">
        <v>-16.492</v>
      </c>
      <c r="M53" s="47">
        <v>18.556</v>
      </c>
      <c r="N53" s="47" t="s">
        <v>15</v>
      </c>
      <c r="O53" s="48">
        <v>-0.667</v>
      </c>
      <c r="T53" s="26"/>
      <c r="U53" s="26"/>
      <c r="V53" s="26"/>
      <c r="W53" s="26"/>
      <c r="X53" s="26"/>
      <c r="Y53" s="26"/>
      <c r="AA53" s="27"/>
      <c r="AB53" s="27"/>
      <c r="AC53" s="27"/>
    </row>
    <row r="54">
      <c r="A54" s="46">
        <v>-3.103</v>
      </c>
      <c r="B54" s="47">
        <v>3.3</v>
      </c>
      <c r="C54" s="47">
        <v>9.689</v>
      </c>
      <c r="D54" s="47" t="s">
        <v>15</v>
      </c>
      <c r="E54" s="48">
        <v>-0.993</v>
      </c>
      <c r="F54" s="46">
        <v>12.14</v>
      </c>
      <c r="G54" s="47">
        <v>-0.445</v>
      </c>
      <c r="H54" s="47">
        <v>-13.761</v>
      </c>
      <c r="I54" s="47" t="s">
        <v>7</v>
      </c>
      <c r="J54" s="48">
        <v>-1.268</v>
      </c>
      <c r="K54" s="46">
        <v>3.4</v>
      </c>
      <c r="L54" s="47">
        <v>-25.129</v>
      </c>
      <c r="M54" s="47">
        <v>2.086</v>
      </c>
      <c r="N54" s="47" t="s">
        <v>10</v>
      </c>
      <c r="O54" s="48">
        <v>-0.665</v>
      </c>
      <c r="T54" s="26"/>
      <c r="U54" s="26"/>
      <c r="V54" s="26"/>
      <c r="W54" s="26"/>
      <c r="X54" s="26"/>
      <c r="Y54" s="26"/>
      <c r="AA54" s="27"/>
      <c r="AB54" s="27"/>
      <c r="AC54" s="27"/>
    </row>
    <row r="55">
      <c r="A55" s="46">
        <v>-14.447</v>
      </c>
      <c r="B55" s="47">
        <v>-0.888</v>
      </c>
      <c r="C55" s="47">
        <v>6.68</v>
      </c>
      <c r="D55" s="47" t="s">
        <v>12</v>
      </c>
      <c r="E55" s="48">
        <v>-0.993</v>
      </c>
      <c r="F55" s="46">
        <v>-0.346</v>
      </c>
      <c r="G55" s="47">
        <v>-4.431</v>
      </c>
      <c r="H55" s="47">
        <v>-3.31</v>
      </c>
      <c r="I55" s="47" t="s">
        <v>8</v>
      </c>
      <c r="J55" s="48">
        <v>-1.268</v>
      </c>
      <c r="K55" s="46">
        <v>-6.274</v>
      </c>
      <c r="L55" s="47">
        <v>-8.614</v>
      </c>
      <c r="M55" s="47">
        <v>16.906</v>
      </c>
      <c r="N55" s="47" t="s">
        <v>19</v>
      </c>
      <c r="O55" s="48">
        <v>-0.662</v>
      </c>
      <c r="T55" s="26"/>
      <c r="U55" s="26"/>
      <c r="V55" s="26"/>
      <c r="W55" s="26"/>
      <c r="X55" s="26"/>
      <c r="Y55" s="26"/>
      <c r="AA55" s="27"/>
      <c r="AB55" s="27"/>
      <c r="AC55" s="27"/>
    </row>
    <row r="56">
      <c r="A56" s="46">
        <v>-12.093</v>
      </c>
      <c r="B56" s="47">
        <v>-1.962</v>
      </c>
      <c r="C56" s="47">
        <v>-10.631</v>
      </c>
      <c r="D56" s="47" t="s">
        <v>18</v>
      </c>
      <c r="E56" s="48">
        <v>-0.987</v>
      </c>
      <c r="F56" s="46">
        <v>-12.401</v>
      </c>
      <c r="G56" s="47">
        <v>-1.938</v>
      </c>
      <c r="H56" s="47">
        <v>-11.139</v>
      </c>
      <c r="I56" s="47" t="s">
        <v>7</v>
      </c>
      <c r="J56" s="48">
        <v>-1.258</v>
      </c>
      <c r="K56" s="46">
        <v>-12.455</v>
      </c>
      <c r="L56" s="47">
        <v>2.569</v>
      </c>
      <c r="M56" s="47">
        <v>-14.452</v>
      </c>
      <c r="N56" s="47" t="s">
        <v>7</v>
      </c>
      <c r="O56" s="48">
        <v>-0.66</v>
      </c>
      <c r="T56" s="26"/>
      <c r="U56" s="26"/>
      <c r="V56" s="26"/>
      <c r="W56" s="26"/>
      <c r="X56" s="26"/>
      <c r="Y56" s="26"/>
      <c r="AA56" s="27"/>
      <c r="AB56" s="27"/>
      <c r="AC56" s="27"/>
    </row>
    <row r="57">
      <c r="A57" s="46">
        <v>3.244</v>
      </c>
      <c r="B57" s="47">
        <v>13.796</v>
      </c>
      <c r="C57" s="47">
        <v>5.523</v>
      </c>
      <c r="D57" s="47" t="s">
        <v>3</v>
      </c>
      <c r="E57" s="48">
        <v>-0.985</v>
      </c>
      <c r="F57" s="46">
        <v>-4.044</v>
      </c>
      <c r="G57" s="47">
        <v>1.671</v>
      </c>
      <c r="H57" s="47">
        <v>-9.035</v>
      </c>
      <c r="I57" s="47" t="s">
        <v>14</v>
      </c>
      <c r="J57" s="48">
        <v>-1.247</v>
      </c>
      <c r="K57" s="46">
        <v>-4.837</v>
      </c>
      <c r="L57" s="47">
        <v>3.786</v>
      </c>
      <c r="M57" s="47">
        <v>11.642</v>
      </c>
      <c r="N57" s="47" t="s">
        <v>15</v>
      </c>
      <c r="O57" s="48">
        <v>-0.659</v>
      </c>
      <c r="T57" s="26"/>
      <c r="U57" s="26"/>
      <c r="V57" s="26"/>
      <c r="W57" s="26"/>
      <c r="X57" s="26"/>
      <c r="Y57" s="26"/>
      <c r="AA57" s="27"/>
      <c r="AB57" s="27"/>
      <c r="AC57" s="27"/>
    </row>
    <row r="58">
      <c r="A58" s="46">
        <v>-14.614</v>
      </c>
      <c r="B58" s="47">
        <v>-1.253</v>
      </c>
      <c r="C58" s="47">
        <v>6.871</v>
      </c>
      <c r="D58" s="47" t="s">
        <v>5</v>
      </c>
      <c r="E58" s="48">
        <v>-0.982</v>
      </c>
      <c r="F58" s="46">
        <v>-5.657</v>
      </c>
      <c r="G58" s="47">
        <v>-22.268</v>
      </c>
      <c r="H58" s="47">
        <v>-9.135</v>
      </c>
      <c r="I58" s="47" t="s">
        <v>7</v>
      </c>
      <c r="J58" s="48">
        <v>-1.237</v>
      </c>
      <c r="K58" s="46">
        <v>-3.876</v>
      </c>
      <c r="L58" s="47">
        <v>2.149</v>
      </c>
      <c r="M58" s="47">
        <v>-8.685</v>
      </c>
      <c r="N58" s="47" t="s">
        <v>11</v>
      </c>
      <c r="O58" s="48">
        <v>-0.655</v>
      </c>
      <c r="T58" s="26"/>
      <c r="U58" s="26"/>
      <c r="V58" s="26"/>
      <c r="W58" s="26"/>
      <c r="X58" s="26"/>
      <c r="Y58" s="26"/>
      <c r="AA58" s="27"/>
      <c r="AB58" s="27"/>
      <c r="AC58" s="27"/>
    </row>
    <row r="59">
      <c r="A59" s="46">
        <v>-18.102</v>
      </c>
      <c r="B59" s="47">
        <v>-6.375</v>
      </c>
      <c r="C59" s="47">
        <v>0.187</v>
      </c>
      <c r="D59" s="47" t="s">
        <v>4</v>
      </c>
      <c r="E59" s="48">
        <v>-0.979</v>
      </c>
      <c r="F59" s="46">
        <v>-7.018</v>
      </c>
      <c r="G59" s="47">
        <v>11.179</v>
      </c>
      <c r="H59" s="47">
        <v>12.237</v>
      </c>
      <c r="I59" s="47" t="s">
        <v>16</v>
      </c>
      <c r="J59" s="48">
        <v>-1.23</v>
      </c>
      <c r="K59" s="56">
        <v>0.563</v>
      </c>
      <c r="L59" s="57">
        <v>7.733</v>
      </c>
      <c r="M59" s="57">
        <v>-20.924</v>
      </c>
      <c r="N59" s="57" t="s">
        <v>7</v>
      </c>
      <c r="O59" s="58">
        <v>-0.633</v>
      </c>
      <c r="T59" s="26"/>
      <c r="U59" s="26"/>
      <c r="V59" s="26"/>
      <c r="W59" s="26"/>
      <c r="X59" s="26"/>
      <c r="Y59" s="26"/>
      <c r="AA59" s="27"/>
      <c r="AB59" s="27"/>
      <c r="AC59" s="27"/>
    </row>
    <row r="60">
      <c r="A60" s="46">
        <v>3.465</v>
      </c>
      <c r="B60" s="47">
        <v>11.662</v>
      </c>
      <c r="C60" s="47">
        <v>7.726</v>
      </c>
      <c r="D60" s="47" t="s">
        <v>16</v>
      </c>
      <c r="E60" s="48">
        <v>-0.979</v>
      </c>
      <c r="F60" s="46">
        <v>-3.876</v>
      </c>
      <c r="G60" s="47">
        <v>2.149</v>
      </c>
      <c r="H60" s="47">
        <v>-8.685</v>
      </c>
      <c r="I60" s="47" t="s">
        <v>11</v>
      </c>
      <c r="J60" s="48">
        <v>-1.228</v>
      </c>
      <c r="K60" s="56">
        <v>-14.614</v>
      </c>
      <c r="L60" s="57">
        <v>-1.253</v>
      </c>
      <c r="M60" s="57">
        <v>6.871</v>
      </c>
      <c r="N60" s="57" t="s">
        <v>5</v>
      </c>
      <c r="O60" s="58">
        <v>-0.633</v>
      </c>
      <c r="T60" s="26"/>
      <c r="U60" s="26"/>
      <c r="V60" s="26"/>
      <c r="W60" s="26"/>
      <c r="X60" s="26"/>
      <c r="Y60" s="26"/>
      <c r="AA60" s="27"/>
      <c r="AB60" s="27"/>
      <c r="AC60" s="27"/>
    </row>
    <row r="61">
      <c r="A61" s="46">
        <v>-2.516</v>
      </c>
      <c r="B61" s="47">
        <v>-8.267</v>
      </c>
      <c r="C61" s="47">
        <v>19.134</v>
      </c>
      <c r="D61" s="47" t="s">
        <v>10</v>
      </c>
      <c r="E61" s="48">
        <v>-0.977</v>
      </c>
      <c r="F61" s="46">
        <v>8.79</v>
      </c>
      <c r="G61" s="47">
        <v>0.286</v>
      </c>
      <c r="H61" s="47">
        <v>3.965</v>
      </c>
      <c r="I61" s="47" t="s">
        <v>7</v>
      </c>
      <c r="J61" s="48">
        <v>-1.223</v>
      </c>
      <c r="K61" s="56">
        <v>-18.128</v>
      </c>
      <c r="L61" s="57">
        <v>-4.895</v>
      </c>
      <c r="M61" s="57">
        <v>-6.551</v>
      </c>
      <c r="N61" s="57" t="s">
        <v>7</v>
      </c>
      <c r="O61" s="58">
        <v>-0.633</v>
      </c>
      <c r="T61" s="26"/>
      <c r="U61" s="26"/>
      <c r="V61" s="26"/>
      <c r="W61" s="26"/>
      <c r="X61" s="26"/>
      <c r="Y61" s="26"/>
      <c r="AA61" s="27"/>
      <c r="AB61" s="27"/>
      <c r="AC61" s="27"/>
    </row>
    <row r="62">
      <c r="A62" s="46">
        <v>-17.77</v>
      </c>
      <c r="B62" s="47">
        <v>-11.743</v>
      </c>
      <c r="C62" s="47">
        <v>6.36</v>
      </c>
      <c r="D62" s="47" t="s">
        <v>10</v>
      </c>
      <c r="E62" s="48">
        <v>-0.973</v>
      </c>
      <c r="F62" s="46">
        <v>-17.202</v>
      </c>
      <c r="G62" s="47">
        <v>-6.138</v>
      </c>
      <c r="H62" s="47">
        <v>1.0</v>
      </c>
      <c r="I62" s="47" t="s">
        <v>10</v>
      </c>
      <c r="J62" s="48">
        <v>-1.221</v>
      </c>
      <c r="K62" s="56">
        <v>6.094</v>
      </c>
      <c r="L62" s="57">
        <v>-3.018</v>
      </c>
      <c r="M62" s="57">
        <v>-20.563</v>
      </c>
      <c r="N62" s="57" t="s">
        <v>4</v>
      </c>
      <c r="O62" s="58">
        <v>-0.632</v>
      </c>
      <c r="T62" s="26"/>
      <c r="U62" s="26"/>
      <c r="V62" s="26"/>
      <c r="W62" s="26"/>
      <c r="X62" s="26"/>
      <c r="Y62" s="26"/>
      <c r="AA62" s="27"/>
      <c r="AB62" s="27"/>
      <c r="AC62" s="27"/>
    </row>
    <row r="63">
      <c r="A63" s="46">
        <v>-6.195</v>
      </c>
      <c r="B63" s="47">
        <v>-9.342</v>
      </c>
      <c r="C63" s="47">
        <v>16.036</v>
      </c>
      <c r="D63" s="47" t="s">
        <v>19</v>
      </c>
      <c r="E63" s="48">
        <v>-0.972</v>
      </c>
      <c r="F63" s="46">
        <v>-0.934</v>
      </c>
      <c r="G63" s="47">
        <v>-3.22</v>
      </c>
      <c r="H63" s="47">
        <v>-4.057</v>
      </c>
      <c r="I63" s="47" t="s">
        <v>16</v>
      </c>
      <c r="J63" s="48">
        <v>-1.216</v>
      </c>
      <c r="K63" s="46">
        <v>5.065</v>
      </c>
      <c r="L63" s="47">
        <v>-15.59</v>
      </c>
      <c r="M63" s="47">
        <v>17.748</v>
      </c>
      <c r="N63" s="47" t="s">
        <v>3</v>
      </c>
      <c r="O63" s="48">
        <v>-0.631</v>
      </c>
      <c r="T63" s="26"/>
      <c r="U63" s="26"/>
      <c r="V63" s="26"/>
      <c r="W63" s="26"/>
      <c r="X63" s="26"/>
      <c r="Y63" s="26"/>
      <c r="AA63" s="27"/>
      <c r="AB63" s="27"/>
      <c r="AC63" s="27"/>
    </row>
    <row r="64">
      <c r="A64" s="46">
        <v>-12.455</v>
      </c>
      <c r="B64" s="47">
        <v>2.569</v>
      </c>
      <c r="C64" s="47">
        <v>-14.452</v>
      </c>
      <c r="D64" s="47" t="s">
        <v>7</v>
      </c>
      <c r="E64" s="48">
        <v>-0.972</v>
      </c>
      <c r="F64" s="46">
        <v>6.772</v>
      </c>
      <c r="G64" s="47">
        <v>-2.238</v>
      </c>
      <c r="H64" s="47">
        <v>6.533</v>
      </c>
      <c r="I64" s="47" t="s">
        <v>14</v>
      </c>
      <c r="J64" s="48">
        <v>-1.212</v>
      </c>
      <c r="K64" s="46">
        <v>-14.447</v>
      </c>
      <c r="L64" s="47">
        <v>-0.888</v>
      </c>
      <c r="M64" s="47">
        <v>6.68</v>
      </c>
      <c r="N64" s="47" t="s">
        <v>12</v>
      </c>
      <c r="O64" s="48">
        <v>-0.63</v>
      </c>
      <c r="T64" s="26"/>
      <c r="U64" s="26"/>
      <c r="V64" s="26"/>
      <c r="W64" s="26"/>
      <c r="X64" s="26"/>
      <c r="Y64" s="26"/>
      <c r="AA64" s="27"/>
      <c r="AB64" s="27"/>
      <c r="AC64" s="27"/>
    </row>
    <row r="65">
      <c r="A65" s="46">
        <v>11.213</v>
      </c>
      <c r="B65" s="47">
        <v>-1.391</v>
      </c>
      <c r="C65" s="47">
        <v>-14.735</v>
      </c>
      <c r="D65" s="47" t="s">
        <v>7</v>
      </c>
      <c r="E65" s="48">
        <v>-0.971</v>
      </c>
      <c r="F65" s="46">
        <v>-17.198</v>
      </c>
      <c r="G65" s="47">
        <v>-3.631</v>
      </c>
      <c r="H65" s="47">
        <v>2.378</v>
      </c>
      <c r="I65" s="47" t="s">
        <v>11</v>
      </c>
      <c r="J65" s="48">
        <v>-1.204</v>
      </c>
      <c r="K65" s="46">
        <v>-13.092</v>
      </c>
      <c r="L65" s="47">
        <v>2.793</v>
      </c>
      <c r="M65" s="47">
        <v>-14.979</v>
      </c>
      <c r="N65" s="47" t="s">
        <v>13</v>
      </c>
      <c r="O65" s="48">
        <v>-0.624</v>
      </c>
      <c r="T65" s="26"/>
      <c r="U65" s="26"/>
      <c r="V65" s="26"/>
      <c r="W65" s="26"/>
      <c r="X65" s="26"/>
      <c r="Y65" s="26"/>
      <c r="AA65" s="27"/>
      <c r="AB65" s="27"/>
      <c r="AC65" s="27"/>
    </row>
    <row r="66">
      <c r="A66" s="59">
        <v>0.01</v>
      </c>
      <c r="B66" s="60">
        <v>-4.677</v>
      </c>
      <c r="C66" s="60">
        <v>-3.344</v>
      </c>
      <c r="D66" s="60" t="s">
        <v>8</v>
      </c>
      <c r="E66" s="61">
        <v>-0.958</v>
      </c>
      <c r="F66" s="59">
        <v>-5.037</v>
      </c>
      <c r="G66" s="60">
        <v>-9.372</v>
      </c>
      <c r="H66" s="60">
        <v>17.006</v>
      </c>
      <c r="I66" s="60" t="s">
        <v>19</v>
      </c>
      <c r="J66" s="61">
        <v>-1.199</v>
      </c>
      <c r="K66" s="59">
        <v>1.14</v>
      </c>
      <c r="L66" s="60">
        <v>-21.701</v>
      </c>
      <c r="M66" s="60">
        <v>12.784</v>
      </c>
      <c r="N66" s="60" t="s">
        <v>5</v>
      </c>
      <c r="O66" s="61">
        <v>-0.624</v>
      </c>
      <c r="T66" s="26"/>
      <c r="U66" s="26"/>
      <c r="V66" s="26"/>
      <c r="W66" s="26"/>
      <c r="X66" s="26"/>
      <c r="Y66" s="26"/>
      <c r="AA66" s="27"/>
      <c r="AB66" s="27"/>
      <c r="AC66" s="27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T67" s="26"/>
      <c r="U67" s="26"/>
      <c r="V67" s="26"/>
      <c r="W67" s="26"/>
      <c r="X67" s="26"/>
      <c r="Y67" s="26"/>
      <c r="AA67" s="27"/>
      <c r="AB67" s="27"/>
      <c r="AC67" s="27"/>
    </row>
    <row r="68">
      <c r="A68" s="65" t="s">
        <v>47</v>
      </c>
      <c r="B68" s="66"/>
      <c r="C68" s="67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T68" s="26"/>
      <c r="U68" s="26"/>
      <c r="V68" s="26"/>
      <c r="W68" s="26"/>
      <c r="X68" s="26"/>
      <c r="Y68" s="26"/>
      <c r="AA68" s="27"/>
      <c r="AB68" s="27"/>
      <c r="AC68" s="27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T69" s="26"/>
      <c r="U69" s="26"/>
      <c r="V69" s="26"/>
      <c r="W69" s="26"/>
      <c r="X69" s="26"/>
      <c r="Y69" s="26"/>
      <c r="AA69" s="27"/>
      <c r="AB69" s="27"/>
      <c r="AC69" s="27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T70" s="26"/>
      <c r="U70" s="26"/>
      <c r="V70" s="26"/>
      <c r="W70" s="26"/>
      <c r="X70" s="26"/>
      <c r="Y70" s="26"/>
      <c r="AA70" s="27"/>
      <c r="AB70" s="27"/>
      <c r="AC70" s="27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T71" s="26"/>
      <c r="U71" s="26"/>
      <c r="V71" s="26"/>
      <c r="W71" s="26"/>
      <c r="X71" s="26"/>
      <c r="Y71" s="26"/>
      <c r="AA71" s="27"/>
      <c r="AB71" s="27"/>
      <c r="AC71" s="27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T72" s="26"/>
      <c r="U72" s="26"/>
      <c r="V72" s="26"/>
      <c r="W72" s="26"/>
      <c r="X72" s="26"/>
      <c r="Y72" s="26"/>
      <c r="AA72" s="27"/>
      <c r="AB72" s="27"/>
      <c r="AC72" s="27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T73" s="26"/>
      <c r="U73" s="26"/>
      <c r="V73" s="26"/>
      <c r="W73" s="26"/>
      <c r="X73" s="26"/>
      <c r="Y73" s="26"/>
      <c r="AA73" s="27"/>
      <c r="AB73" s="27"/>
      <c r="AC73" s="27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T74" s="26"/>
      <c r="U74" s="26"/>
      <c r="V74" s="26"/>
      <c r="W74" s="26"/>
      <c r="X74" s="26"/>
      <c r="Y74" s="26"/>
      <c r="AA74" s="27"/>
      <c r="AB74" s="27"/>
      <c r="AC74" s="27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T75" s="26"/>
      <c r="U75" s="26"/>
      <c r="V75" s="26"/>
      <c r="W75" s="26"/>
      <c r="X75" s="26"/>
      <c r="Y75" s="26"/>
      <c r="AA75" s="27"/>
      <c r="AB75" s="27"/>
      <c r="AC75" s="27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T76" s="26"/>
      <c r="U76" s="26"/>
      <c r="V76" s="26"/>
      <c r="W76" s="26"/>
      <c r="X76" s="26"/>
      <c r="Y76" s="26"/>
      <c r="AA76" s="27"/>
      <c r="AB76" s="27"/>
      <c r="AC76" s="27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T77" s="26"/>
      <c r="U77" s="26"/>
      <c r="V77" s="26"/>
      <c r="W77" s="26"/>
      <c r="X77" s="26"/>
      <c r="Y77" s="26"/>
      <c r="AA77" s="27"/>
      <c r="AB77" s="27"/>
      <c r="AC77" s="27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T78" s="26"/>
      <c r="U78" s="26"/>
      <c r="V78" s="26"/>
      <c r="W78" s="26"/>
      <c r="X78" s="26"/>
      <c r="Y78" s="26"/>
      <c r="AA78" s="27"/>
      <c r="AB78" s="27"/>
      <c r="AC78" s="27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T79" s="26"/>
      <c r="U79" s="26"/>
      <c r="V79" s="26"/>
      <c r="W79" s="26"/>
      <c r="X79" s="26"/>
      <c r="Y79" s="26"/>
      <c r="AA79" s="27"/>
      <c r="AB79" s="27"/>
      <c r="AC79" s="27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T80" s="26"/>
      <c r="U80" s="26"/>
      <c r="V80" s="26"/>
      <c r="W80" s="26"/>
      <c r="X80" s="26"/>
      <c r="Y80" s="26"/>
      <c r="AA80" s="27"/>
      <c r="AB80" s="27"/>
      <c r="AC80" s="27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T81" s="26"/>
      <c r="U81" s="26"/>
      <c r="V81" s="26"/>
      <c r="W81" s="26"/>
      <c r="X81" s="26"/>
      <c r="Y81" s="26"/>
      <c r="AA81" s="27"/>
      <c r="AB81" s="27"/>
      <c r="AC81" s="27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T82" s="26"/>
      <c r="U82" s="26"/>
      <c r="V82" s="26"/>
      <c r="W82" s="26"/>
      <c r="X82" s="26"/>
      <c r="Y82" s="26"/>
      <c r="AA82" s="27"/>
      <c r="AB82" s="27"/>
      <c r="AC82" s="27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T83" s="26"/>
      <c r="U83" s="26"/>
      <c r="V83" s="26"/>
      <c r="W83" s="26"/>
      <c r="X83" s="26"/>
      <c r="Y83" s="26"/>
      <c r="AA83" s="27"/>
      <c r="AB83" s="27"/>
      <c r="AC83" s="27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T84" s="26"/>
      <c r="U84" s="26"/>
      <c r="V84" s="26"/>
      <c r="W84" s="26"/>
      <c r="X84" s="26"/>
      <c r="Y84" s="26"/>
      <c r="AA84" s="27"/>
      <c r="AB84" s="27"/>
      <c r="AC84" s="27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T85" s="26"/>
      <c r="U85" s="26"/>
      <c r="V85" s="26"/>
      <c r="W85" s="26"/>
      <c r="X85" s="26"/>
      <c r="Y85" s="26"/>
      <c r="AA85" s="27"/>
      <c r="AB85" s="27"/>
      <c r="AC85" s="27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T86" s="26"/>
      <c r="U86" s="26"/>
      <c r="V86" s="26"/>
      <c r="W86" s="26"/>
      <c r="X86" s="26"/>
      <c r="Y86" s="26"/>
      <c r="AA86" s="27"/>
      <c r="AB86" s="27"/>
      <c r="AC86" s="27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T87" s="26"/>
      <c r="U87" s="26"/>
      <c r="V87" s="26"/>
      <c r="W87" s="26"/>
      <c r="X87" s="26"/>
      <c r="Y87" s="26"/>
      <c r="AA87" s="27"/>
      <c r="AB87" s="27"/>
      <c r="AC87" s="27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T88" s="26"/>
      <c r="U88" s="26"/>
      <c r="V88" s="26"/>
      <c r="W88" s="26"/>
      <c r="X88" s="26"/>
      <c r="Y88" s="26"/>
      <c r="AA88" s="27"/>
      <c r="AB88" s="27"/>
      <c r="AC88" s="27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T89" s="26"/>
      <c r="U89" s="26"/>
      <c r="V89" s="26"/>
      <c r="W89" s="26"/>
      <c r="X89" s="26"/>
      <c r="Y89" s="26"/>
      <c r="AA89" s="27"/>
      <c r="AB89" s="27"/>
      <c r="AC89" s="27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T90" s="26"/>
      <c r="U90" s="26"/>
      <c r="V90" s="26"/>
      <c r="W90" s="26"/>
      <c r="X90" s="26"/>
      <c r="Y90" s="26"/>
      <c r="AA90" s="27"/>
      <c r="AB90" s="27"/>
      <c r="AC90" s="27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T91" s="26"/>
      <c r="U91" s="26"/>
      <c r="V91" s="26"/>
      <c r="W91" s="26"/>
      <c r="X91" s="26"/>
      <c r="Y91" s="26"/>
      <c r="AA91" s="27"/>
      <c r="AB91" s="27"/>
      <c r="AC91" s="27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T92" s="26"/>
      <c r="U92" s="26"/>
      <c r="V92" s="26"/>
      <c r="W92" s="26"/>
      <c r="X92" s="26"/>
      <c r="Y92" s="26"/>
      <c r="AA92" s="27"/>
      <c r="AB92" s="27"/>
      <c r="AC92" s="27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T93" s="26"/>
      <c r="U93" s="26"/>
      <c r="V93" s="26"/>
      <c r="W93" s="26"/>
      <c r="X93" s="26"/>
      <c r="Y93" s="26"/>
      <c r="AA93" s="27"/>
      <c r="AB93" s="27"/>
      <c r="AC93" s="27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T94" s="26"/>
      <c r="U94" s="26"/>
      <c r="V94" s="26"/>
      <c r="W94" s="26"/>
      <c r="X94" s="26"/>
      <c r="Y94" s="26"/>
      <c r="AA94" s="27"/>
      <c r="AB94" s="27"/>
      <c r="AC94" s="27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T95" s="26"/>
      <c r="U95" s="26"/>
      <c r="V95" s="26"/>
      <c r="W95" s="26"/>
      <c r="X95" s="26"/>
      <c r="Y95" s="26"/>
      <c r="AA95" s="27"/>
      <c r="AB95" s="27"/>
      <c r="AC95" s="27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T96" s="26"/>
      <c r="U96" s="26"/>
      <c r="V96" s="26"/>
      <c r="W96" s="26"/>
      <c r="X96" s="26"/>
      <c r="Y96" s="26"/>
      <c r="AA96" s="27"/>
      <c r="AB96" s="27"/>
      <c r="AC96" s="27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T97" s="26"/>
      <c r="U97" s="26"/>
      <c r="V97" s="26"/>
      <c r="W97" s="26"/>
      <c r="X97" s="26"/>
      <c r="Y97" s="26"/>
      <c r="AA97" s="27"/>
      <c r="AB97" s="27"/>
      <c r="AC97" s="27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T98" s="26"/>
      <c r="U98" s="26"/>
      <c r="V98" s="26"/>
      <c r="W98" s="26"/>
      <c r="X98" s="26"/>
      <c r="Y98" s="26"/>
      <c r="AA98" s="27"/>
      <c r="AB98" s="27"/>
      <c r="AC98" s="27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T99" s="26"/>
      <c r="U99" s="26"/>
      <c r="V99" s="26"/>
      <c r="W99" s="26"/>
      <c r="X99" s="26"/>
      <c r="Y99" s="26"/>
      <c r="AA99" s="27"/>
      <c r="AB99" s="27"/>
      <c r="AC99" s="27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T100" s="26"/>
      <c r="U100" s="26"/>
      <c r="V100" s="26"/>
      <c r="W100" s="26"/>
      <c r="X100" s="26"/>
      <c r="Y100" s="26"/>
      <c r="AA100" s="27"/>
      <c r="AB100" s="27"/>
      <c r="AC100" s="27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T101" s="26"/>
      <c r="U101" s="26"/>
      <c r="V101" s="26"/>
      <c r="W101" s="26"/>
      <c r="X101" s="26"/>
      <c r="Y101" s="26"/>
      <c r="AA101" s="27"/>
      <c r="AB101" s="27"/>
      <c r="AC101" s="27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T102" s="26"/>
      <c r="U102" s="26"/>
      <c r="V102" s="26"/>
      <c r="W102" s="26"/>
      <c r="X102" s="26"/>
      <c r="Y102" s="26"/>
      <c r="AA102" s="27"/>
      <c r="AB102" s="27"/>
      <c r="AC102" s="27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T103" s="26"/>
      <c r="U103" s="26"/>
      <c r="V103" s="26"/>
      <c r="W103" s="26"/>
      <c r="X103" s="26"/>
      <c r="Y103" s="26"/>
      <c r="AA103" s="27"/>
      <c r="AB103" s="27"/>
      <c r="AC103" s="27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T104" s="26"/>
      <c r="U104" s="26"/>
      <c r="V104" s="26"/>
      <c r="W104" s="26"/>
      <c r="X104" s="26"/>
      <c r="Y104" s="26"/>
      <c r="AA104" s="27"/>
      <c r="AB104" s="27"/>
      <c r="AC104" s="27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T105" s="26"/>
      <c r="U105" s="26"/>
      <c r="V105" s="26"/>
      <c r="W105" s="26"/>
      <c r="X105" s="26"/>
      <c r="Y105" s="26"/>
      <c r="AA105" s="27"/>
      <c r="AB105" s="27"/>
      <c r="AC105" s="27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T106" s="26"/>
      <c r="U106" s="26"/>
      <c r="V106" s="26"/>
      <c r="W106" s="26"/>
      <c r="X106" s="26"/>
      <c r="Y106" s="26"/>
      <c r="AA106" s="27"/>
      <c r="AB106" s="27"/>
      <c r="AC106" s="27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T107" s="26"/>
      <c r="U107" s="26"/>
      <c r="V107" s="26"/>
      <c r="W107" s="26"/>
      <c r="X107" s="26"/>
      <c r="Y107" s="26"/>
      <c r="AA107" s="27"/>
      <c r="AB107" s="27"/>
      <c r="AC107" s="27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T108" s="26"/>
      <c r="U108" s="26"/>
      <c r="V108" s="26"/>
      <c r="W108" s="26"/>
      <c r="X108" s="26"/>
      <c r="Y108" s="26"/>
      <c r="AA108" s="27"/>
      <c r="AB108" s="27"/>
      <c r="AC108" s="27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T109" s="26"/>
      <c r="U109" s="26"/>
      <c r="V109" s="26"/>
      <c r="W109" s="26"/>
      <c r="X109" s="26"/>
      <c r="Y109" s="26"/>
      <c r="AA109" s="27"/>
      <c r="AB109" s="27"/>
      <c r="AC109" s="27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T110" s="26"/>
      <c r="U110" s="26"/>
      <c r="V110" s="26"/>
      <c r="W110" s="26"/>
      <c r="X110" s="26"/>
      <c r="Y110" s="26"/>
      <c r="AA110" s="27"/>
      <c r="AB110" s="27"/>
      <c r="AC110" s="27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T111" s="26"/>
      <c r="U111" s="26"/>
      <c r="V111" s="26"/>
      <c r="W111" s="26"/>
      <c r="X111" s="26"/>
      <c r="Y111" s="26"/>
      <c r="AA111" s="27"/>
      <c r="AB111" s="27"/>
      <c r="AC111" s="27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T112" s="26"/>
      <c r="U112" s="26"/>
      <c r="V112" s="26"/>
      <c r="W112" s="26"/>
      <c r="X112" s="26"/>
      <c r="Y112" s="26"/>
      <c r="AA112" s="27"/>
      <c r="AB112" s="27"/>
      <c r="AC112" s="27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T113" s="26"/>
      <c r="U113" s="26"/>
      <c r="V113" s="26"/>
      <c r="W113" s="26"/>
      <c r="X113" s="26"/>
      <c r="Y113" s="26"/>
      <c r="AA113" s="27"/>
      <c r="AB113" s="27"/>
      <c r="AC113" s="27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T114" s="26"/>
      <c r="U114" s="26"/>
      <c r="V114" s="26"/>
      <c r="W114" s="26"/>
      <c r="X114" s="26"/>
      <c r="Y114" s="26"/>
      <c r="AA114" s="27"/>
      <c r="AB114" s="27"/>
      <c r="AC114" s="27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T115" s="26"/>
      <c r="U115" s="26"/>
      <c r="V115" s="26"/>
      <c r="W115" s="26"/>
      <c r="X115" s="26"/>
      <c r="Y115" s="26"/>
      <c r="AA115" s="27"/>
      <c r="AB115" s="27"/>
      <c r="AC115" s="27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T116" s="26"/>
      <c r="U116" s="26"/>
      <c r="V116" s="26"/>
      <c r="W116" s="26"/>
      <c r="X116" s="26"/>
      <c r="Y116" s="26"/>
      <c r="AA116" s="27"/>
      <c r="AB116" s="27"/>
      <c r="AC116" s="27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T117" s="26"/>
      <c r="U117" s="26"/>
      <c r="V117" s="26"/>
      <c r="W117" s="26"/>
      <c r="X117" s="26"/>
      <c r="Y117" s="26"/>
      <c r="AA117" s="27"/>
      <c r="AB117" s="27"/>
      <c r="AC117" s="27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T118" s="26"/>
      <c r="U118" s="26"/>
      <c r="V118" s="26"/>
      <c r="W118" s="26"/>
      <c r="X118" s="26"/>
      <c r="Y118" s="26"/>
      <c r="AA118" s="27"/>
      <c r="AB118" s="27"/>
      <c r="AC118" s="27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T119" s="26"/>
      <c r="U119" s="26"/>
      <c r="V119" s="26"/>
      <c r="W119" s="26"/>
      <c r="X119" s="26"/>
      <c r="Y119" s="26"/>
      <c r="AA119" s="27"/>
      <c r="AB119" s="27"/>
      <c r="AC119" s="27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T120" s="26"/>
      <c r="U120" s="26"/>
      <c r="V120" s="26"/>
      <c r="W120" s="26"/>
      <c r="X120" s="26"/>
      <c r="Y120" s="26"/>
      <c r="AA120" s="27"/>
      <c r="AB120" s="27"/>
      <c r="AC120" s="27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T121" s="26"/>
      <c r="U121" s="26"/>
      <c r="V121" s="26"/>
      <c r="W121" s="26"/>
      <c r="X121" s="26"/>
      <c r="Y121" s="26"/>
      <c r="AA121" s="27"/>
      <c r="AB121" s="27"/>
      <c r="AC121" s="27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T122" s="26"/>
      <c r="U122" s="26"/>
      <c r="V122" s="26"/>
      <c r="W122" s="26"/>
      <c r="X122" s="26"/>
      <c r="Y122" s="26"/>
      <c r="AA122" s="27"/>
      <c r="AB122" s="27"/>
      <c r="AC122" s="27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T123" s="26"/>
      <c r="U123" s="26"/>
      <c r="V123" s="26"/>
      <c r="W123" s="26"/>
      <c r="X123" s="26"/>
      <c r="Y123" s="26"/>
      <c r="AA123" s="27"/>
      <c r="AB123" s="27"/>
      <c r="AC123" s="27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T124" s="26"/>
      <c r="U124" s="26"/>
      <c r="V124" s="26"/>
      <c r="W124" s="26"/>
      <c r="X124" s="26"/>
      <c r="Y124" s="26"/>
      <c r="AA124" s="27"/>
      <c r="AB124" s="27"/>
      <c r="AC124" s="27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T125" s="26"/>
      <c r="U125" s="26"/>
      <c r="V125" s="26"/>
      <c r="W125" s="26"/>
      <c r="X125" s="26"/>
      <c r="Y125" s="26"/>
      <c r="AA125" s="27"/>
      <c r="AB125" s="27"/>
      <c r="AC125" s="27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T126" s="26"/>
      <c r="U126" s="26"/>
      <c r="V126" s="26"/>
      <c r="W126" s="26"/>
      <c r="X126" s="26"/>
      <c r="Y126" s="26"/>
      <c r="AA126" s="27"/>
      <c r="AB126" s="27"/>
      <c r="AC126" s="27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T127" s="26"/>
      <c r="U127" s="26"/>
      <c r="V127" s="26"/>
      <c r="W127" s="26"/>
      <c r="X127" s="26"/>
      <c r="Y127" s="26"/>
      <c r="AA127" s="27"/>
      <c r="AB127" s="27"/>
      <c r="AC127" s="27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T128" s="26"/>
      <c r="U128" s="26"/>
      <c r="V128" s="26"/>
      <c r="W128" s="26"/>
      <c r="X128" s="26"/>
      <c r="Y128" s="26"/>
      <c r="AA128" s="27"/>
      <c r="AB128" s="27"/>
      <c r="AC128" s="27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T129" s="26"/>
      <c r="U129" s="26"/>
      <c r="V129" s="26"/>
      <c r="W129" s="26"/>
      <c r="X129" s="26"/>
      <c r="Y129" s="26"/>
      <c r="AA129" s="27"/>
      <c r="AB129" s="27"/>
      <c r="AC129" s="27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T130" s="26"/>
      <c r="U130" s="26"/>
      <c r="V130" s="26"/>
      <c r="W130" s="26"/>
      <c r="X130" s="26"/>
      <c r="Y130" s="26"/>
      <c r="AA130" s="27"/>
      <c r="AB130" s="27"/>
      <c r="AC130" s="27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T131" s="26"/>
      <c r="U131" s="26"/>
      <c r="V131" s="26"/>
      <c r="W131" s="26"/>
      <c r="X131" s="26"/>
      <c r="Y131" s="26"/>
      <c r="AA131" s="27"/>
      <c r="AB131" s="27"/>
      <c r="AC131" s="27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T132" s="26"/>
      <c r="U132" s="26"/>
      <c r="V132" s="26"/>
      <c r="W132" s="26"/>
      <c r="X132" s="26"/>
      <c r="Y132" s="26"/>
      <c r="AA132" s="27"/>
      <c r="AB132" s="27"/>
      <c r="AC132" s="27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T133" s="26"/>
      <c r="U133" s="26"/>
      <c r="V133" s="26"/>
      <c r="W133" s="26"/>
      <c r="X133" s="26"/>
      <c r="Y133" s="26"/>
      <c r="AA133" s="27"/>
      <c r="AB133" s="27"/>
      <c r="AC133" s="27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T134" s="26"/>
      <c r="U134" s="26"/>
      <c r="V134" s="26"/>
      <c r="W134" s="26"/>
      <c r="X134" s="26"/>
      <c r="Y134" s="26"/>
      <c r="AA134" s="27"/>
      <c r="AB134" s="27"/>
      <c r="AC134" s="27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T135" s="26"/>
      <c r="U135" s="26"/>
      <c r="V135" s="26"/>
      <c r="W135" s="26"/>
      <c r="X135" s="26"/>
      <c r="Y135" s="26"/>
      <c r="AA135" s="27"/>
      <c r="AB135" s="27"/>
      <c r="AC135" s="27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T136" s="26"/>
      <c r="U136" s="26"/>
      <c r="V136" s="26"/>
      <c r="W136" s="26"/>
      <c r="X136" s="26"/>
      <c r="Y136" s="26"/>
      <c r="AA136" s="27"/>
      <c r="AB136" s="27"/>
      <c r="AC136" s="27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T137" s="26"/>
      <c r="U137" s="26"/>
      <c r="V137" s="26"/>
      <c r="W137" s="26"/>
      <c r="X137" s="26"/>
      <c r="Y137" s="26"/>
      <c r="AA137" s="27"/>
      <c r="AB137" s="27"/>
      <c r="AC137" s="27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T138" s="26"/>
      <c r="U138" s="26"/>
      <c r="V138" s="26"/>
      <c r="W138" s="26"/>
      <c r="X138" s="26"/>
      <c r="Y138" s="26"/>
      <c r="AA138" s="27"/>
      <c r="AB138" s="27"/>
      <c r="AC138" s="27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T139" s="26"/>
      <c r="U139" s="26"/>
      <c r="V139" s="26"/>
      <c r="W139" s="26"/>
      <c r="X139" s="26"/>
      <c r="Y139" s="26"/>
      <c r="AA139" s="27"/>
      <c r="AB139" s="27"/>
      <c r="AC139" s="27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T140" s="26"/>
      <c r="U140" s="26"/>
      <c r="V140" s="26"/>
      <c r="W140" s="26"/>
      <c r="X140" s="26"/>
      <c r="Y140" s="26"/>
      <c r="AA140" s="27"/>
      <c r="AB140" s="27"/>
      <c r="AC140" s="27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T141" s="26"/>
      <c r="U141" s="26"/>
      <c r="V141" s="26"/>
      <c r="W141" s="26"/>
      <c r="X141" s="26"/>
      <c r="Y141" s="26"/>
      <c r="AA141" s="27"/>
      <c r="AB141" s="27"/>
      <c r="AC141" s="27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T142" s="26"/>
      <c r="U142" s="26"/>
      <c r="V142" s="26"/>
      <c r="W142" s="26"/>
      <c r="X142" s="26"/>
      <c r="Y142" s="26"/>
      <c r="AA142" s="27"/>
      <c r="AB142" s="27"/>
      <c r="AC142" s="27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T143" s="26"/>
      <c r="U143" s="26"/>
      <c r="V143" s="26"/>
      <c r="W143" s="26"/>
      <c r="X143" s="26"/>
      <c r="Y143" s="26"/>
      <c r="AA143" s="27"/>
      <c r="AB143" s="27"/>
      <c r="AC143" s="27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T144" s="26"/>
      <c r="U144" s="26"/>
      <c r="V144" s="26"/>
      <c r="W144" s="26"/>
      <c r="X144" s="26"/>
      <c r="Y144" s="26"/>
      <c r="AA144" s="27"/>
      <c r="AB144" s="27"/>
      <c r="AC144" s="27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T145" s="26"/>
      <c r="U145" s="26"/>
      <c r="V145" s="26"/>
      <c r="W145" s="26"/>
      <c r="X145" s="26"/>
      <c r="Y145" s="26"/>
      <c r="AA145" s="27"/>
      <c r="AB145" s="27"/>
      <c r="AC145" s="27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T146" s="26"/>
      <c r="U146" s="26"/>
      <c r="V146" s="26"/>
      <c r="W146" s="26"/>
      <c r="X146" s="26"/>
      <c r="Y146" s="26"/>
      <c r="AA146" s="27"/>
      <c r="AB146" s="27"/>
      <c r="AC146" s="27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T147" s="26"/>
      <c r="U147" s="26"/>
      <c r="V147" s="26"/>
      <c r="W147" s="26"/>
      <c r="X147" s="26"/>
      <c r="Y147" s="26"/>
      <c r="AA147" s="27"/>
      <c r="AB147" s="27"/>
      <c r="AC147" s="27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T148" s="26"/>
      <c r="U148" s="26"/>
      <c r="V148" s="26"/>
      <c r="W148" s="26"/>
      <c r="X148" s="26"/>
      <c r="Y148" s="26"/>
      <c r="AA148" s="27"/>
      <c r="AB148" s="27"/>
      <c r="AC148" s="27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T149" s="26"/>
      <c r="U149" s="26"/>
      <c r="V149" s="26"/>
      <c r="W149" s="26"/>
      <c r="X149" s="26"/>
      <c r="Y149" s="26"/>
      <c r="AA149" s="27"/>
      <c r="AB149" s="27"/>
      <c r="AC149" s="27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T150" s="26"/>
      <c r="U150" s="26"/>
      <c r="V150" s="26"/>
      <c r="W150" s="26"/>
      <c r="X150" s="26"/>
      <c r="Y150" s="26"/>
      <c r="AA150" s="27"/>
      <c r="AB150" s="27"/>
      <c r="AC150" s="27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T151" s="26"/>
      <c r="U151" s="26"/>
      <c r="V151" s="26"/>
      <c r="W151" s="26"/>
      <c r="X151" s="26"/>
      <c r="Y151" s="26"/>
      <c r="AA151" s="27"/>
      <c r="AB151" s="27"/>
      <c r="AC151" s="27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T152" s="26"/>
      <c r="U152" s="26"/>
      <c r="V152" s="26"/>
      <c r="W152" s="26"/>
      <c r="X152" s="26"/>
      <c r="Y152" s="26"/>
      <c r="AA152" s="27"/>
      <c r="AB152" s="27"/>
      <c r="AC152" s="27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T153" s="26"/>
      <c r="U153" s="26"/>
      <c r="V153" s="26"/>
      <c r="W153" s="26"/>
      <c r="X153" s="26"/>
      <c r="Y153" s="26"/>
      <c r="AA153" s="27"/>
      <c r="AB153" s="27"/>
      <c r="AC153" s="27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T154" s="26"/>
      <c r="U154" s="26"/>
      <c r="V154" s="26"/>
      <c r="W154" s="26"/>
      <c r="X154" s="26"/>
      <c r="Y154" s="26"/>
      <c r="AA154" s="27"/>
      <c r="AB154" s="27"/>
      <c r="AC154" s="27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T155" s="26"/>
      <c r="U155" s="26"/>
      <c r="V155" s="26"/>
      <c r="W155" s="26"/>
      <c r="X155" s="26"/>
      <c r="Y155" s="26"/>
      <c r="AA155" s="27"/>
      <c r="AB155" s="27"/>
      <c r="AC155" s="27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T156" s="26"/>
      <c r="U156" s="26"/>
      <c r="V156" s="26"/>
      <c r="W156" s="26"/>
      <c r="X156" s="26"/>
      <c r="Y156" s="26"/>
      <c r="AA156" s="27"/>
      <c r="AB156" s="27"/>
      <c r="AC156" s="27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T157" s="26"/>
      <c r="U157" s="26"/>
      <c r="V157" s="26"/>
      <c r="W157" s="26"/>
      <c r="X157" s="26"/>
      <c r="Y157" s="26"/>
      <c r="AA157" s="27"/>
      <c r="AB157" s="27"/>
      <c r="AC157" s="27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T158" s="26"/>
      <c r="U158" s="26"/>
      <c r="V158" s="26"/>
      <c r="W158" s="26"/>
      <c r="X158" s="26"/>
      <c r="Y158" s="26"/>
      <c r="AA158" s="27"/>
      <c r="AB158" s="27"/>
      <c r="AC158" s="27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T159" s="26"/>
      <c r="U159" s="26"/>
      <c r="V159" s="26"/>
      <c r="W159" s="26"/>
      <c r="X159" s="26"/>
      <c r="Y159" s="26"/>
      <c r="AA159" s="27"/>
      <c r="AB159" s="27"/>
      <c r="AC159" s="27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T160" s="26"/>
      <c r="U160" s="26"/>
      <c r="V160" s="26"/>
      <c r="W160" s="26"/>
      <c r="X160" s="26"/>
      <c r="Y160" s="26"/>
      <c r="AA160" s="27"/>
      <c r="AB160" s="27"/>
      <c r="AC160" s="27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T161" s="26"/>
      <c r="U161" s="26"/>
      <c r="V161" s="26"/>
      <c r="W161" s="26"/>
      <c r="X161" s="26"/>
      <c r="Y161" s="26"/>
      <c r="AA161" s="27"/>
      <c r="AB161" s="27"/>
      <c r="AC161" s="27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T162" s="26"/>
      <c r="U162" s="26"/>
      <c r="V162" s="26"/>
      <c r="W162" s="26"/>
      <c r="X162" s="26"/>
      <c r="Y162" s="26"/>
      <c r="AA162" s="27"/>
      <c r="AB162" s="27"/>
      <c r="AC162" s="27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T163" s="26"/>
      <c r="U163" s="26"/>
      <c r="V163" s="26"/>
      <c r="W163" s="26"/>
      <c r="X163" s="26"/>
      <c r="Y163" s="26"/>
      <c r="AA163" s="27"/>
      <c r="AB163" s="27"/>
      <c r="AC163" s="27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T164" s="26"/>
      <c r="U164" s="26"/>
      <c r="V164" s="26"/>
      <c r="W164" s="26"/>
      <c r="X164" s="26"/>
      <c r="Y164" s="26"/>
      <c r="AA164" s="27"/>
      <c r="AB164" s="27"/>
      <c r="AC164" s="27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T165" s="26"/>
      <c r="U165" s="26"/>
      <c r="V165" s="26"/>
      <c r="W165" s="26"/>
      <c r="X165" s="26"/>
      <c r="Y165" s="26"/>
      <c r="AA165" s="27"/>
      <c r="AB165" s="27"/>
      <c r="AC165" s="27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T166" s="26"/>
      <c r="U166" s="26"/>
      <c r="V166" s="26"/>
      <c r="W166" s="26"/>
      <c r="X166" s="26"/>
      <c r="Y166" s="26"/>
      <c r="AA166" s="27"/>
      <c r="AB166" s="27"/>
      <c r="AC166" s="27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T167" s="26"/>
      <c r="U167" s="26"/>
      <c r="V167" s="26"/>
      <c r="W167" s="26"/>
      <c r="X167" s="26"/>
      <c r="Y167" s="26"/>
      <c r="AA167" s="27"/>
      <c r="AB167" s="27"/>
      <c r="AC167" s="27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T168" s="26"/>
      <c r="U168" s="26"/>
      <c r="V168" s="26"/>
      <c r="W168" s="26"/>
      <c r="X168" s="26"/>
      <c r="Y168" s="26"/>
      <c r="AA168" s="27"/>
      <c r="AB168" s="27"/>
      <c r="AC168" s="27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T169" s="26"/>
      <c r="U169" s="26"/>
      <c r="V169" s="26"/>
      <c r="W169" s="26"/>
      <c r="X169" s="26"/>
      <c r="Y169" s="26"/>
      <c r="AA169" s="27"/>
      <c r="AB169" s="27"/>
      <c r="AC169" s="27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T170" s="26"/>
      <c r="U170" s="26"/>
      <c r="V170" s="26"/>
      <c r="W170" s="26"/>
      <c r="X170" s="26"/>
      <c r="Y170" s="26"/>
      <c r="AA170" s="27"/>
      <c r="AB170" s="27"/>
      <c r="AC170" s="27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T171" s="26"/>
      <c r="U171" s="26"/>
      <c r="V171" s="26"/>
      <c r="W171" s="26"/>
      <c r="X171" s="26"/>
      <c r="Y171" s="26"/>
      <c r="AA171" s="27"/>
      <c r="AB171" s="27"/>
      <c r="AC171" s="27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T172" s="26"/>
      <c r="U172" s="26"/>
      <c r="V172" s="26"/>
      <c r="W172" s="26"/>
      <c r="X172" s="26"/>
      <c r="Y172" s="26"/>
      <c r="AA172" s="27"/>
      <c r="AB172" s="27"/>
      <c r="AC172" s="27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T173" s="26"/>
      <c r="U173" s="26"/>
      <c r="V173" s="26"/>
      <c r="W173" s="26"/>
      <c r="X173" s="26"/>
      <c r="Y173" s="26"/>
      <c r="AA173" s="27"/>
      <c r="AB173" s="27"/>
      <c r="AC173" s="27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T174" s="26"/>
      <c r="U174" s="26"/>
      <c r="V174" s="26"/>
      <c r="W174" s="26"/>
      <c r="X174" s="26"/>
      <c r="Y174" s="26"/>
      <c r="AA174" s="27"/>
      <c r="AB174" s="27"/>
      <c r="AC174" s="27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T175" s="26"/>
      <c r="U175" s="26"/>
      <c r="V175" s="26"/>
      <c r="W175" s="26"/>
      <c r="X175" s="26"/>
      <c r="Y175" s="26"/>
      <c r="AA175" s="27"/>
      <c r="AB175" s="27"/>
      <c r="AC175" s="27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T176" s="26"/>
      <c r="U176" s="26"/>
      <c r="V176" s="26"/>
      <c r="W176" s="26"/>
      <c r="X176" s="26"/>
      <c r="Y176" s="26"/>
      <c r="AA176" s="27"/>
      <c r="AB176" s="27"/>
      <c r="AC176" s="27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T177" s="26"/>
      <c r="U177" s="26"/>
      <c r="V177" s="26"/>
      <c r="W177" s="26"/>
      <c r="X177" s="26"/>
      <c r="Y177" s="26"/>
      <c r="AA177" s="27"/>
      <c r="AB177" s="27"/>
      <c r="AC177" s="27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T178" s="26"/>
      <c r="U178" s="26"/>
      <c r="V178" s="26"/>
      <c r="W178" s="26"/>
      <c r="X178" s="26"/>
      <c r="Y178" s="26"/>
      <c r="AA178" s="27"/>
      <c r="AB178" s="27"/>
      <c r="AC178" s="27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T179" s="26"/>
      <c r="U179" s="26"/>
      <c r="V179" s="26"/>
      <c r="W179" s="26"/>
      <c r="X179" s="26"/>
      <c r="Y179" s="26"/>
      <c r="AA179" s="27"/>
      <c r="AB179" s="27"/>
      <c r="AC179" s="27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T180" s="26"/>
      <c r="U180" s="26"/>
      <c r="V180" s="26"/>
      <c r="W180" s="26"/>
      <c r="X180" s="26"/>
      <c r="Y180" s="26"/>
      <c r="AA180" s="27"/>
      <c r="AB180" s="27"/>
      <c r="AC180" s="27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T181" s="26"/>
      <c r="U181" s="26"/>
      <c r="V181" s="26"/>
      <c r="W181" s="26"/>
      <c r="X181" s="26"/>
      <c r="Y181" s="26"/>
      <c r="AA181" s="27"/>
      <c r="AB181" s="27"/>
      <c r="AC181" s="27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T182" s="26"/>
      <c r="U182" s="26"/>
      <c r="V182" s="26"/>
      <c r="W182" s="26"/>
      <c r="X182" s="26"/>
      <c r="Y182" s="26"/>
      <c r="AA182" s="27"/>
      <c r="AB182" s="27"/>
      <c r="AC182" s="27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T183" s="26"/>
      <c r="U183" s="26"/>
      <c r="V183" s="26"/>
      <c r="W183" s="26"/>
      <c r="X183" s="26"/>
      <c r="Y183" s="26"/>
      <c r="AA183" s="27"/>
      <c r="AB183" s="27"/>
      <c r="AC183" s="27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T184" s="26"/>
      <c r="U184" s="26"/>
      <c r="V184" s="26"/>
      <c r="W184" s="26"/>
      <c r="X184" s="26"/>
      <c r="Y184" s="26"/>
      <c r="AA184" s="27"/>
      <c r="AB184" s="27"/>
      <c r="AC184" s="27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T185" s="26"/>
      <c r="U185" s="26"/>
      <c r="V185" s="26"/>
      <c r="W185" s="26"/>
      <c r="X185" s="26"/>
      <c r="Y185" s="26"/>
      <c r="AA185" s="27"/>
      <c r="AB185" s="27"/>
      <c r="AC185" s="27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T186" s="26"/>
      <c r="U186" s="26"/>
      <c r="V186" s="26"/>
      <c r="W186" s="26"/>
      <c r="X186" s="26"/>
      <c r="Y186" s="26"/>
      <c r="AA186" s="27"/>
      <c r="AB186" s="27"/>
      <c r="AC186" s="27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T187" s="26"/>
      <c r="U187" s="26"/>
      <c r="V187" s="26"/>
      <c r="W187" s="26"/>
      <c r="X187" s="26"/>
      <c r="Y187" s="26"/>
      <c r="AA187" s="27"/>
      <c r="AB187" s="27"/>
      <c r="AC187" s="27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T188" s="26"/>
      <c r="U188" s="26"/>
      <c r="V188" s="26"/>
      <c r="W188" s="26"/>
      <c r="X188" s="26"/>
      <c r="Y188" s="26"/>
      <c r="AA188" s="27"/>
      <c r="AB188" s="27"/>
      <c r="AC188" s="27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T189" s="26"/>
      <c r="U189" s="26"/>
      <c r="V189" s="26"/>
      <c r="W189" s="26"/>
      <c r="X189" s="26"/>
      <c r="Y189" s="26"/>
      <c r="AA189" s="27"/>
      <c r="AB189" s="27"/>
      <c r="AC189" s="27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T190" s="26"/>
      <c r="U190" s="26"/>
      <c r="V190" s="26"/>
      <c r="W190" s="26"/>
      <c r="X190" s="26"/>
      <c r="Y190" s="26"/>
      <c r="AA190" s="27"/>
      <c r="AB190" s="27"/>
      <c r="AC190" s="27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T191" s="26"/>
      <c r="U191" s="26"/>
      <c r="V191" s="26"/>
      <c r="W191" s="26"/>
      <c r="X191" s="26"/>
      <c r="Y191" s="26"/>
      <c r="AA191" s="27"/>
      <c r="AB191" s="27"/>
      <c r="AC191" s="27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T192" s="26"/>
      <c r="U192" s="26"/>
      <c r="V192" s="26"/>
      <c r="W192" s="26"/>
      <c r="X192" s="26"/>
      <c r="Y192" s="26"/>
      <c r="AA192" s="27"/>
      <c r="AB192" s="27"/>
      <c r="AC192" s="27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T193" s="26"/>
      <c r="U193" s="26"/>
      <c r="V193" s="26"/>
      <c r="W193" s="26"/>
      <c r="X193" s="26"/>
      <c r="Y193" s="26"/>
      <c r="AA193" s="27"/>
      <c r="AB193" s="27"/>
      <c r="AC193" s="27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T194" s="26"/>
      <c r="U194" s="26"/>
      <c r="V194" s="26"/>
      <c r="W194" s="26"/>
      <c r="X194" s="26"/>
      <c r="Y194" s="26"/>
      <c r="AA194" s="27"/>
      <c r="AB194" s="27"/>
      <c r="AC194" s="27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T195" s="26"/>
      <c r="U195" s="26"/>
      <c r="V195" s="26"/>
      <c r="W195" s="26"/>
      <c r="X195" s="26"/>
      <c r="Y195" s="26"/>
      <c r="AA195" s="27"/>
      <c r="AB195" s="27"/>
      <c r="AC195" s="27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T196" s="26"/>
      <c r="U196" s="26"/>
      <c r="V196" s="26"/>
      <c r="W196" s="26"/>
      <c r="X196" s="26"/>
      <c r="Y196" s="26"/>
      <c r="AA196" s="27"/>
      <c r="AB196" s="27"/>
      <c r="AC196" s="27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T197" s="26"/>
      <c r="U197" s="26"/>
      <c r="V197" s="26"/>
      <c r="W197" s="26"/>
      <c r="X197" s="26"/>
      <c r="Y197" s="26"/>
      <c r="AA197" s="27"/>
      <c r="AB197" s="27"/>
      <c r="AC197" s="27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T198" s="26"/>
      <c r="U198" s="26"/>
      <c r="V198" s="26"/>
      <c r="W198" s="26"/>
      <c r="X198" s="26"/>
      <c r="Y198" s="26"/>
      <c r="AA198" s="27"/>
      <c r="AB198" s="27"/>
      <c r="AC198" s="27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T199" s="26"/>
      <c r="U199" s="26"/>
      <c r="V199" s="26"/>
      <c r="W199" s="26"/>
      <c r="X199" s="26"/>
      <c r="Y199" s="26"/>
      <c r="AA199" s="27"/>
      <c r="AB199" s="27"/>
      <c r="AC199" s="27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T200" s="26"/>
      <c r="U200" s="26"/>
      <c r="V200" s="26"/>
      <c r="W200" s="26"/>
      <c r="X200" s="26"/>
      <c r="Y200" s="26"/>
      <c r="AA200" s="27"/>
      <c r="AB200" s="27"/>
      <c r="AC200" s="27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T201" s="26"/>
      <c r="U201" s="26"/>
      <c r="V201" s="26"/>
      <c r="W201" s="26"/>
      <c r="X201" s="26"/>
      <c r="Y201" s="26"/>
      <c r="AA201" s="27"/>
      <c r="AB201" s="27"/>
      <c r="AC201" s="27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T202" s="26"/>
      <c r="U202" s="26"/>
      <c r="V202" s="26"/>
      <c r="W202" s="26"/>
      <c r="X202" s="26"/>
      <c r="Y202" s="26"/>
      <c r="AA202" s="27"/>
      <c r="AB202" s="27"/>
      <c r="AC202" s="27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T203" s="26"/>
      <c r="U203" s="26"/>
      <c r="V203" s="26"/>
      <c r="W203" s="26"/>
      <c r="X203" s="26"/>
      <c r="Y203" s="26"/>
      <c r="AA203" s="27"/>
      <c r="AB203" s="27"/>
      <c r="AC203" s="27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T204" s="26"/>
      <c r="U204" s="26"/>
      <c r="V204" s="26"/>
      <c r="W204" s="26"/>
      <c r="X204" s="26"/>
      <c r="Y204" s="26"/>
      <c r="AA204" s="27"/>
      <c r="AB204" s="27"/>
      <c r="AC204" s="27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T205" s="26"/>
      <c r="U205" s="26"/>
      <c r="V205" s="26"/>
      <c r="W205" s="26"/>
      <c r="X205" s="26"/>
      <c r="Y205" s="26"/>
      <c r="AA205" s="27"/>
      <c r="AB205" s="27"/>
      <c r="AC205" s="27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T206" s="26"/>
      <c r="U206" s="26"/>
      <c r="V206" s="26"/>
      <c r="W206" s="26"/>
      <c r="X206" s="26"/>
      <c r="Y206" s="26"/>
      <c r="AA206" s="27"/>
      <c r="AB206" s="27"/>
      <c r="AC206" s="27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T207" s="26"/>
      <c r="U207" s="26"/>
      <c r="V207" s="26"/>
      <c r="W207" s="26"/>
      <c r="X207" s="26"/>
      <c r="Y207" s="26"/>
      <c r="AA207" s="27"/>
      <c r="AB207" s="27"/>
      <c r="AC207" s="27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T208" s="26"/>
      <c r="U208" s="26"/>
      <c r="V208" s="26"/>
      <c r="W208" s="26"/>
      <c r="X208" s="26"/>
      <c r="Y208" s="26"/>
      <c r="AA208" s="27"/>
      <c r="AB208" s="27"/>
      <c r="AC208" s="27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T209" s="26"/>
      <c r="U209" s="26"/>
      <c r="V209" s="26"/>
      <c r="W209" s="26"/>
      <c r="X209" s="26"/>
      <c r="Y209" s="26"/>
      <c r="AA209" s="27"/>
      <c r="AB209" s="27"/>
      <c r="AC209" s="27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T210" s="26"/>
      <c r="U210" s="26"/>
      <c r="V210" s="26"/>
      <c r="W210" s="26"/>
      <c r="X210" s="26"/>
      <c r="Y210" s="26"/>
      <c r="AA210" s="27"/>
      <c r="AB210" s="27"/>
      <c r="AC210" s="27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T211" s="26"/>
      <c r="U211" s="26"/>
      <c r="V211" s="26"/>
      <c r="W211" s="26"/>
      <c r="X211" s="26"/>
      <c r="Y211" s="26"/>
      <c r="AA211" s="27"/>
      <c r="AB211" s="27"/>
      <c r="AC211" s="27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T212" s="26"/>
      <c r="U212" s="26"/>
      <c r="V212" s="26"/>
      <c r="W212" s="26"/>
      <c r="X212" s="26"/>
      <c r="Y212" s="26"/>
      <c r="AA212" s="27"/>
      <c r="AB212" s="27"/>
      <c r="AC212" s="27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T213" s="26"/>
      <c r="U213" s="26"/>
      <c r="V213" s="26"/>
      <c r="W213" s="26"/>
      <c r="X213" s="26"/>
      <c r="Y213" s="26"/>
      <c r="AA213" s="27"/>
      <c r="AB213" s="27"/>
      <c r="AC213" s="27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T214" s="26"/>
      <c r="U214" s="26"/>
      <c r="V214" s="26"/>
      <c r="W214" s="26"/>
      <c r="X214" s="26"/>
      <c r="Y214" s="26"/>
      <c r="AA214" s="27"/>
      <c r="AB214" s="27"/>
      <c r="AC214" s="27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T215" s="26"/>
      <c r="U215" s="26"/>
      <c r="V215" s="26"/>
      <c r="W215" s="26"/>
      <c r="X215" s="26"/>
      <c r="Y215" s="26"/>
      <c r="AA215" s="27"/>
      <c r="AB215" s="27"/>
      <c r="AC215" s="27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T216" s="26"/>
      <c r="U216" s="26"/>
      <c r="V216" s="26"/>
      <c r="W216" s="26"/>
      <c r="X216" s="26"/>
      <c r="Y216" s="26"/>
      <c r="AA216" s="27"/>
      <c r="AB216" s="27"/>
      <c r="AC216" s="27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T217" s="26"/>
      <c r="U217" s="26"/>
      <c r="V217" s="26"/>
      <c r="W217" s="26"/>
      <c r="X217" s="26"/>
      <c r="Y217" s="26"/>
      <c r="AA217" s="27"/>
      <c r="AB217" s="27"/>
      <c r="AC217" s="27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T218" s="26"/>
      <c r="U218" s="26"/>
      <c r="V218" s="26"/>
      <c r="W218" s="26"/>
      <c r="X218" s="26"/>
      <c r="Y218" s="26"/>
      <c r="AA218" s="27"/>
      <c r="AB218" s="27"/>
      <c r="AC218" s="27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T219" s="26"/>
      <c r="U219" s="26"/>
      <c r="V219" s="26"/>
      <c r="W219" s="26"/>
      <c r="X219" s="26"/>
      <c r="Y219" s="26"/>
      <c r="AA219" s="27"/>
      <c r="AB219" s="27"/>
      <c r="AC219" s="27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T220" s="26"/>
      <c r="U220" s="26"/>
      <c r="V220" s="26"/>
      <c r="W220" s="26"/>
      <c r="X220" s="26"/>
      <c r="Y220" s="26"/>
      <c r="AA220" s="27"/>
      <c r="AB220" s="27"/>
      <c r="AC220" s="27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T221" s="26"/>
      <c r="U221" s="26"/>
      <c r="V221" s="26"/>
      <c r="W221" s="26"/>
      <c r="X221" s="26"/>
      <c r="Y221" s="26"/>
      <c r="AA221" s="27"/>
      <c r="AB221" s="27"/>
      <c r="AC221" s="27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T222" s="26"/>
      <c r="U222" s="26"/>
      <c r="V222" s="26"/>
      <c r="W222" s="26"/>
      <c r="X222" s="26"/>
      <c r="Y222" s="26"/>
      <c r="AA222" s="27"/>
      <c r="AB222" s="27"/>
      <c r="AC222" s="27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T223" s="26"/>
      <c r="U223" s="26"/>
      <c r="V223" s="26"/>
      <c r="W223" s="26"/>
      <c r="X223" s="26"/>
      <c r="Y223" s="26"/>
      <c r="AA223" s="27"/>
      <c r="AB223" s="27"/>
      <c r="AC223" s="27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T224" s="26"/>
      <c r="U224" s="26"/>
      <c r="V224" s="26"/>
      <c r="W224" s="26"/>
      <c r="X224" s="26"/>
      <c r="Y224" s="26"/>
      <c r="AA224" s="27"/>
      <c r="AB224" s="27"/>
      <c r="AC224" s="27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T225" s="26"/>
      <c r="U225" s="26"/>
      <c r="V225" s="26"/>
      <c r="W225" s="26"/>
      <c r="X225" s="26"/>
      <c r="Y225" s="26"/>
      <c r="AA225" s="27"/>
      <c r="AB225" s="27"/>
      <c r="AC225" s="27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T226" s="26"/>
      <c r="U226" s="26"/>
      <c r="V226" s="26"/>
      <c r="W226" s="26"/>
      <c r="X226" s="26"/>
      <c r="Y226" s="26"/>
      <c r="AA226" s="27"/>
      <c r="AB226" s="27"/>
      <c r="AC226" s="27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T227" s="26"/>
      <c r="U227" s="26"/>
      <c r="V227" s="26"/>
      <c r="W227" s="26"/>
      <c r="X227" s="26"/>
      <c r="Y227" s="26"/>
      <c r="AA227" s="27"/>
      <c r="AB227" s="27"/>
      <c r="AC227" s="27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T228" s="26"/>
      <c r="U228" s="26"/>
      <c r="V228" s="26"/>
      <c r="W228" s="26"/>
      <c r="X228" s="26"/>
      <c r="Y228" s="26"/>
      <c r="AA228" s="27"/>
      <c r="AB228" s="27"/>
      <c r="AC228" s="27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T229" s="26"/>
      <c r="U229" s="26"/>
      <c r="V229" s="26"/>
      <c r="W229" s="26"/>
      <c r="X229" s="26"/>
      <c r="Y229" s="26"/>
      <c r="AA229" s="27"/>
      <c r="AB229" s="27"/>
      <c r="AC229" s="27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T230" s="26"/>
      <c r="U230" s="26"/>
      <c r="V230" s="26"/>
      <c r="W230" s="26"/>
      <c r="X230" s="26"/>
      <c r="Y230" s="26"/>
      <c r="AA230" s="27"/>
      <c r="AB230" s="27"/>
      <c r="AC230" s="27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T231" s="26"/>
      <c r="U231" s="26"/>
      <c r="V231" s="26"/>
      <c r="W231" s="26"/>
      <c r="X231" s="26"/>
      <c r="Y231" s="26"/>
      <c r="AA231" s="27"/>
      <c r="AB231" s="27"/>
      <c r="AC231" s="27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T232" s="26"/>
      <c r="U232" s="26"/>
      <c r="V232" s="26"/>
      <c r="W232" s="26"/>
      <c r="X232" s="26"/>
      <c r="Y232" s="26"/>
      <c r="AA232" s="27"/>
      <c r="AB232" s="27"/>
      <c r="AC232" s="27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T233" s="26"/>
      <c r="U233" s="26"/>
      <c r="V233" s="26"/>
      <c r="W233" s="26"/>
      <c r="X233" s="26"/>
      <c r="Y233" s="26"/>
      <c r="AA233" s="27"/>
      <c r="AB233" s="27"/>
      <c r="AC233" s="27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T234" s="26"/>
      <c r="U234" s="26"/>
      <c r="V234" s="26"/>
      <c r="W234" s="26"/>
      <c r="X234" s="26"/>
      <c r="Y234" s="26"/>
      <c r="AA234" s="27"/>
      <c r="AB234" s="27"/>
      <c r="AC234" s="27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T235" s="26"/>
      <c r="U235" s="26"/>
      <c r="V235" s="26"/>
      <c r="W235" s="26"/>
      <c r="X235" s="26"/>
      <c r="Y235" s="26"/>
      <c r="AA235" s="27"/>
      <c r="AB235" s="27"/>
      <c r="AC235" s="27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T236" s="26"/>
      <c r="U236" s="26"/>
      <c r="V236" s="26"/>
      <c r="W236" s="26"/>
      <c r="X236" s="26"/>
      <c r="Y236" s="26"/>
      <c r="AA236" s="27"/>
      <c r="AB236" s="27"/>
      <c r="AC236" s="27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T237" s="26"/>
      <c r="U237" s="26"/>
      <c r="V237" s="26"/>
      <c r="W237" s="26"/>
      <c r="X237" s="26"/>
      <c r="Y237" s="26"/>
      <c r="AA237" s="27"/>
      <c r="AB237" s="27"/>
      <c r="AC237" s="27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T238" s="26"/>
      <c r="U238" s="26"/>
      <c r="V238" s="26"/>
      <c r="W238" s="26"/>
      <c r="X238" s="26"/>
      <c r="Y238" s="26"/>
      <c r="AA238" s="27"/>
      <c r="AB238" s="27"/>
      <c r="AC238" s="27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T239" s="26"/>
      <c r="U239" s="26"/>
      <c r="V239" s="26"/>
      <c r="W239" s="26"/>
      <c r="X239" s="26"/>
      <c r="Y239" s="26"/>
      <c r="AA239" s="27"/>
      <c r="AB239" s="27"/>
      <c r="AC239" s="27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T240" s="26"/>
      <c r="U240" s="26"/>
      <c r="V240" s="26"/>
      <c r="W240" s="26"/>
      <c r="X240" s="26"/>
      <c r="Y240" s="26"/>
      <c r="AA240" s="27"/>
      <c r="AB240" s="27"/>
      <c r="AC240" s="27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T241" s="26"/>
      <c r="U241" s="26"/>
      <c r="V241" s="26"/>
      <c r="W241" s="26"/>
      <c r="X241" s="26"/>
      <c r="Y241" s="26"/>
      <c r="AA241" s="27"/>
      <c r="AB241" s="27"/>
      <c r="AC241" s="27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T242" s="26"/>
      <c r="U242" s="26"/>
      <c r="V242" s="26"/>
      <c r="W242" s="26"/>
      <c r="X242" s="26"/>
      <c r="Y242" s="26"/>
      <c r="AA242" s="27"/>
      <c r="AB242" s="27"/>
      <c r="AC242" s="27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T243" s="26"/>
      <c r="U243" s="26"/>
      <c r="V243" s="26"/>
      <c r="W243" s="26"/>
      <c r="X243" s="26"/>
      <c r="Y243" s="26"/>
      <c r="AA243" s="27"/>
      <c r="AB243" s="27"/>
      <c r="AC243" s="27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T244" s="26"/>
      <c r="U244" s="26"/>
      <c r="V244" s="26"/>
      <c r="W244" s="26"/>
      <c r="X244" s="26"/>
      <c r="Y244" s="26"/>
      <c r="AA244" s="27"/>
      <c r="AB244" s="27"/>
      <c r="AC244" s="27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T245" s="26"/>
      <c r="U245" s="26"/>
      <c r="V245" s="26"/>
      <c r="W245" s="26"/>
      <c r="X245" s="26"/>
      <c r="Y245" s="26"/>
      <c r="AA245" s="27"/>
      <c r="AB245" s="27"/>
      <c r="AC245" s="27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T246" s="26"/>
      <c r="U246" s="26"/>
      <c r="V246" s="26"/>
      <c r="W246" s="26"/>
      <c r="X246" s="26"/>
      <c r="Y246" s="26"/>
      <c r="AA246" s="27"/>
      <c r="AB246" s="27"/>
      <c r="AC246" s="27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T247" s="26"/>
      <c r="U247" s="26"/>
      <c r="V247" s="26"/>
      <c r="W247" s="26"/>
      <c r="X247" s="26"/>
      <c r="Y247" s="26"/>
      <c r="AA247" s="27"/>
      <c r="AB247" s="27"/>
      <c r="AC247" s="27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T248" s="26"/>
      <c r="U248" s="26"/>
      <c r="V248" s="26"/>
      <c r="W248" s="26"/>
      <c r="X248" s="26"/>
      <c r="Y248" s="26"/>
      <c r="AA248" s="27"/>
      <c r="AB248" s="27"/>
      <c r="AC248" s="27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T249" s="26"/>
      <c r="U249" s="26"/>
      <c r="V249" s="26"/>
      <c r="W249" s="26"/>
      <c r="X249" s="26"/>
      <c r="Y249" s="26"/>
      <c r="AA249" s="27"/>
      <c r="AB249" s="27"/>
      <c r="AC249" s="27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T250" s="26"/>
      <c r="U250" s="26"/>
      <c r="V250" s="26"/>
      <c r="W250" s="26"/>
      <c r="X250" s="26"/>
      <c r="Y250" s="26"/>
      <c r="AA250" s="27"/>
      <c r="AB250" s="27"/>
      <c r="AC250" s="27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T251" s="26"/>
      <c r="U251" s="26"/>
      <c r="V251" s="26"/>
      <c r="W251" s="26"/>
      <c r="X251" s="26"/>
      <c r="Y251" s="26"/>
      <c r="AA251" s="27"/>
      <c r="AB251" s="27"/>
      <c r="AC251" s="27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T252" s="26"/>
      <c r="U252" s="26"/>
      <c r="V252" s="26"/>
      <c r="W252" s="26"/>
      <c r="X252" s="26"/>
      <c r="Y252" s="26"/>
      <c r="AA252" s="27"/>
      <c r="AB252" s="27"/>
      <c r="AC252" s="27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T253" s="26"/>
      <c r="U253" s="26"/>
      <c r="V253" s="26"/>
      <c r="W253" s="26"/>
      <c r="X253" s="26"/>
      <c r="Y253" s="26"/>
      <c r="AA253" s="27"/>
      <c r="AB253" s="27"/>
      <c r="AC253" s="27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T254" s="26"/>
      <c r="U254" s="26"/>
      <c r="V254" s="26"/>
      <c r="W254" s="26"/>
      <c r="X254" s="26"/>
      <c r="Y254" s="26"/>
      <c r="AA254" s="27"/>
      <c r="AB254" s="27"/>
      <c r="AC254" s="27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T255" s="26"/>
      <c r="U255" s="26"/>
      <c r="V255" s="26"/>
      <c r="W255" s="26"/>
      <c r="X255" s="26"/>
      <c r="Y255" s="26"/>
      <c r="AA255" s="27"/>
      <c r="AB255" s="27"/>
      <c r="AC255" s="27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T256" s="26"/>
      <c r="U256" s="26"/>
      <c r="V256" s="26"/>
      <c r="W256" s="26"/>
      <c r="X256" s="26"/>
      <c r="Y256" s="26"/>
      <c r="AA256" s="27"/>
      <c r="AB256" s="27"/>
      <c r="AC256" s="27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T257" s="26"/>
      <c r="U257" s="26"/>
      <c r="V257" s="26"/>
      <c r="W257" s="26"/>
      <c r="X257" s="26"/>
      <c r="Y257" s="26"/>
      <c r="AA257" s="27"/>
      <c r="AB257" s="27"/>
      <c r="AC257" s="27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T258" s="26"/>
      <c r="U258" s="26"/>
      <c r="V258" s="26"/>
      <c r="W258" s="26"/>
      <c r="X258" s="26"/>
      <c r="Y258" s="26"/>
      <c r="AA258" s="27"/>
      <c r="AB258" s="27"/>
      <c r="AC258" s="27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T259" s="26"/>
      <c r="U259" s="26"/>
      <c r="V259" s="26"/>
      <c r="W259" s="26"/>
      <c r="X259" s="26"/>
      <c r="Y259" s="26"/>
      <c r="AA259" s="27"/>
      <c r="AB259" s="27"/>
      <c r="AC259" s="27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T260" s="26"/>
      <c r="U260" s="26"/>
      <c r="V260" s="26"/>
      <c r="W260" s="26"/>
      <c r="X260" s="26"/>
      <c r="Y260" s="26"/>
      <c r="AA260" s="27"/>
      <c r="AB260" s="27"/>
      <c r="AC260" s="27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T261" s="26"/>
      <c r="U261" s="26"/>
      <c r="V261" s="26"/>
      <c r="W261" s="26"/>
      <c r="X261" s="26"/>
      <c r="Y261" s="26"/>
      <c r="AA261" s="27"/>
      <c r="AB261" s="27"/>
      <c r="AC261" s="27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T262" s="26"/>
      <c r="U262" s="26"/>
      <c r="V262" s="26"/>
      <c r="W262" s="26"/>
      <c r="X262" s="26"/>
      <c r="Y262" s="26"/>
      <c r="AA262" s="27"/>
      <c r="AB262" s="27"/>
      <c r="AC262" s="27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T263" s="26"/>
      <c r="U263" s="26"/>
      <c r="V263" s="26"/>
      <c r="W263" s="26"/>
      <c r="X263" s="26"/>
      <c r="Y263" s="26"/>
      <c r="AA263" s="27"/>
      <c r="AB263" s="27"/>
      <c r="AC263" s="27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T264" s="26"/>
      <c r="U264" s="26"/>
      <c r="V264" s="26"/>
      <c r="W264" s="26"/>
      <c r="X264" s="26"/>
      <c r="Y264" s="26"/>
      <c r="AA264" s="27"/>
      <c r="AB264" s="27"/>
      <c r="AC264" s="27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T265" s="26"/>
      <c r="U265" s="26"/>
      <c r="V265" s="26"/>
      <c r="W265" s="26"/>
      <c r="X265" s="26"/>
      <c r="Y265" s="26"/>
      <c r="AA265" s="27"/>
      <c r="AB265" s="27"/>
      <c r="AC265" s="27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T266" s="26"/>
      <c r="U266" s="26"/>
      <c r="V266" s="26"/>
      <c r="W266" s="26"/>
      <c r="X266" s="26"/>
      <c r="Y266" s="26"/>
      <c r="AA266" s="27"/>
      <c r="AB266" s="27"/>
      <c r="AC266" s="27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T267" s="26"/>
      <c r="U267" s="26"/>
      <c r="V267" s="26"/>
      <c r="W267" s="26"/>
      <c r="X267" s="26"/>
      <c r="Y267" s="26"/>
      <c r="AA267" s="27"/>
      <c r="AB267" s="27"/>
      <c r="AC267" s="27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T268" s="26"/>
      <c r="U268" s="26"/>
      <c r="V268" s="26"/>
      <c r="W268" s="26"/>
      <c r="X268" s="26"/>
      <c r="Y268" s="26"/>
      <c r="AA268" s="27"/>
      <c r="AB268" s="27"/>
      <c r="AC268" s="27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T269" s="26"/>
      <c r="U269" s="26"/>
      <c r="V269" s="26"/>
      <c r="W269" s="26"/>
      <c r="X269" s="26"/>
      <c r="Y269" s="26"/>
      <c r="AA269" s="27"/>
      <c r="AB269" s="27"/>
      <c r="AC269" s="27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T270" s="26"/>
      <c r="U270" s="26"/>
      <c r="V270" s="26"/>
      <c r="W270" s="26"/>
      <c r="X270" s="26"/>
      <c r="Y270" s="26"/>
      <c r="AA270" s="27"/>
      <c r="AB270" s="27"/>
      <c r="AC270" s="27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T271" s="26"/>
      <c r="U271" s="26"/>
      <c r="V271" s="26"/>
      <c r="W271" s="26"/>
      <c r="X271" s="26"/>
      <c r="Y271" s="26"/>
      <c r="AA271" s="27"/>
      <c r="AB271" s="27"/>
      <c r="AC271" s="27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T272" s="26"/>
      <c r="U272" s="26"/>
      <c r="V272" s="26"/>
      <c r="W272" s="26"/>
      <c r="X272" s="26"/>
      <c r="Y272" s="26"/>
      <c r="AA272" s="27"/>
      <c r="AB272" s="27"/>
      <c r="AC272" s="27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T273" s="26"/>
      <c r="U273" s="26"/>
      <c r="V273" s="26"/>
      <c r="W273" s="26"/>
      <c r="X273" s="26"/>
      <c r="Y273" s="26"/>
      <c r="AA273" s="27"/>
      <c r="AB273" s="27"/>
      <c r="AC273" s="27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T274" s="26"/>
      <c r="U274" s="26"/>
      <c r="V274" s="26"/>
      <c r="W274" s="26"/>
      <c r="X274" s="26"/>
      <c r="Y274" s="26"/>
      <c r="AA274" s="27"/>
      <c r="AB274" s="27"/>
      <c r="AC274" s="27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T275" s="26"/>
      <c r="U275" s="26"/>
      <c r="V275" s="26"/>
      <c r="W275" s="26"/>
      <c r="X275" s="26"/>
      <c r="Y275" s="26"/>
      <c r="AA275" s="27"/>
      <c r="AB275" s="27"/>
      <c r="AC275" s="27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T276" s="26"/>
      <c r="U276" s="26"/>
      <c r="V276" s="26"/>
      <c r="W276" s="26"/>
      <c r="X276" s="26"/>
      <c r="Y276" s="26"/>
      <c r="AA276" s="27"/>
      <c r="AB276" s="27"/>
      <c r="AC276" s="27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T277" s="26"/>
      <c r="U277" s="26"/>
      <c r="V277" s="26"/>
      <c r="W277" s="26"/>
      <c r="X277" s="26"/>
      <c r="Y277" s="26"/>
      <c r="AA277" s="27"/>
      <c r="AB277" s="27"/>
      <c r="AC277" s="27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T278" s="26"/>
      <c r="U278" s="26"/>
      <c r="V278" s="26"/>
      <c r="W278" s="26"/>
      <c r="X278" s="26"/>
      <c r="Y278" s="26"/>
      <c r="AA278" s="27"/>
      <c r="AB278" s="27"/>
      <c r="AC278" s="27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T279" s="26"/>
      <c r="U279" s="26"/>
      <c r="V279" s="26"/>
      <c r="W279" s="26"/>
      <c r="X279" s="26"/>
      <c r="Y279" s="26"/>
      <c r="AA279" s="27"/>
      <c r="AB279" s="27"/>
      <c r="AC279" s="27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T280" s="26"/>
      <c r="U280" s="26"/>
      <c r="V280" s="26"/>
      <c r="W280" s="26"/>
      <c r="X280" s="26"/>
      <c r="Y280" s="26"/>
      <c r="AA280" s="27"/>
      <c r="AB280" s="27"/>
      <c r="AC280" s="27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4.75"/>
    <col customWidth="1" min="18" max="18" width="15.63"/>
    <col customWidth="1" min="19" max="19" width="13.13"/>
    <col customWidth="1" min="20" max="20" width="18.0"/>
    <col customWidth="1" min="21" max="21" width="16.75"/>
    <col customWidth="1" min="25" max="25" width="14.5"/>
  </cols>
  <sheetData>
    <row r="1">
      <c r="A1" s="4" t="s">
        <v>27</v>
      </c>
      <c r="Q1" s="5" t="s">
        <v>28</v>
      </c>
      <c r="R1" s="6"/>
      <c r="S1" s="6"/>
      <c r="T1" s="6"/>
      <c r="U1" s="7" t="s">
        <v>29</v>
      </c>
      <c r="V1" s="6"/>
      <c r="W1" s="8"/>
      <c r="X1" s="9"/>
      <c r="Z1" s="10"/>
      <c r="AB1" s="11"/>
    </row>
    <row r="2">
      <c r="A2" s="2" t="s">
        <v>30</v>
      </c>
      <c r="Q2" s="6"/>
      <c r="R2" s="6"/>
      <c r="S2" s="6"/>
      <c r="T2" s="6"/>
      <c r="U2" s="6"/>
      <c r="V2" s="6"/>
    </row>
    <row r="3">
      <c r="A3" s="12" t="s">
        <v>31</v>
      </c>
      <c r="B3" s="12"/>
      <c r="C3" s="12"/>
      <c r="D3" s="13"/>
      <c r="E3" s="13"/>
      <c r="F3" s="14" t="s">
        <v>32</v>
      </c>
      <c r="G3" s="14"/>
      <c r="H3" s="14"/>
      <c r="I3" s="13"/>
      <c r="J3" s="13"/>
      <c r="K3" s="14" t="s">
        <v>33</v>
      </c>
      <c r="L3" s="14"/>
      <c r="M3" s="14"/>
      <c r="N3" s="13"/>
      <c r="O3" s="13"/>
      <c r="Q3" s="15" t="s">
        <v>31</v>
      </c>
      <c r="R3" s="16" t="s">
        <v>32</v>
      </c>
      <c r="S3" s="16" t="s">
        <v>33</v>
      </c>
      <c r="T3" s="16" t="s">
        <v>34</v>
      </c>
      <c r="U3" s="16" t="s">
        <v>35</v>
      </c>
      <c r="V3" s="17" t="s">
        <v>36</v>
      </c>
      <c r="W3" s="18"/>
      <c r="X3" s="19"/>
      <c r="Y3" s="19"/>
    </row>
    <row r="4">
      <c r="A4" s="20" t="s">
        <v>37</v>
      </c>
      <c r="B4" s="21" t="s">
        <v>38</v>
      </c>
      <c r="C4" s="21" t="s">
        <v>39</v>
      </c>
      <c r="D4" s="21" t="s">
        <v>40</v>
      </c>
      <c r="E4" s="22" t="s">
        <v>41</v>
      </c>
      <c r="F4" s="20" t="s">
        <v>37</v>
      </c>
      <c r="G4" s="21" t="s">
        <v>38</v>
      </c>
      <c r="H4" s="21" t="s">
        <v>39</v>
      </c>
      <c r="I4" s="21" t="s">
        <v>40</v>
      </c>
      <c r="J4" s="22" t="s">
        <v>41</v>
      </c>
      <c r="K4" s="20" t="s">
        <v>37</v>
      </c>
      <c r="L4" s="21" t="s">
        <v>38</v>
      </c>
      <c r="M4" s="21" t="s">
        <v>39</v>
      </c>
      <c r="N4" s="21" t="s">
        <v>40</v>
      </c>
      <c r="O4" s="22" t="s">
        <v>41</v>
      </c>
      <c r="Q4" s="62" t="s">
        <v>48</v>
      </c>
      <c r="R4" s="62" t="s">
        <v>49</v>
      </c>
      <c r="S4" s="68"/>
      <c r="T4" s="62" t="s">
        <v>50</v>
      </c>
      <c r="U4" s="62" t="s">
        <v>50</v>
      </c>
      <c r="V4" s="69"/>
      <c r="W4" s="26"/>
      <c r="X4" s="26"/>
      <c r="Y4" s="26"/>
      <c r="AA4" s="70"/>
      <c r="AB4" s="70"/>
      <c r="AC4" s="27"/>
    </row>
    <row r="5">
      <c r="A5" s="28">
        <v>-9.524</v>
      </c>
      <c r="B5" s="29">
        <v>9.011</v>
      </c>
      <c r="C5" s="29">
        <v>-8.092</v>
      </c>
      <c r="D5" s="29" t="s">
        <v>12</v>
      </c>
      <c r="E5" s="30">
        <v>-0.213</v>
      </c>
      <c r="F5" s="28">
        <v>-1.889</v>
      </c>
      <c r="G5" s="29">
        <v>13.306</v>
      </c>
      <c r="H5" s="29">
        <v>-1.03</v>
      </c>
      <c r="I5" s="29" t="s">
        <v>12</v>
      </c>
      <c r="J5" s="30">
        <v>-1.245</v>
      </c>
      <c r="K5" s="28">
        <v>12.025</v>
      </c>
      <c r="L5" s="29">
        <v>0.118</v>
      </c>
      <c r="M5" s="29">
        <v>-16.984</v>
      </c>
      <c r="N5" s="29" t="s">
        <v>4</v>
      </c>
      <c r="O5" s="30">
        <v>-1.449</v>
      </c>
      <c r="Q5" s="71" t="s">
        <v>51</v>
      </c>
      <c r="R5" s="72"/>
      <c r="S5" s="72"/>
      <c r="T5" s="62" t="s">
        <v>52</v>
      </c>
      <c r="U5" s="52" t="s">
        <v>53</v>
      </c>
      <c r="V5" s="69"/>
      <c r="W5" s="26"/>
      <c r="X5" s="26"/>
      <c r="Y5" s="26"/>
      <c r="AA5" s="70"/>
      <c r="AE5" s="27"/>
    </row>
    <row r="6">
      <c r="A6" s="33">
        <v>-10.408</v>
      </c>
      <c r="B6" s="34">
        <v>21.84</v>
      </c>
      <c r="C6" s="34">
        <v>-7.218</v>
      </c>
      <c r="D6" s="34" t="s">
        <v>17</v>
      </c>
      <c r="E6" s="35">
        <v>-0.21</v>
      </c>
      <c r="F6" s="33">
        <v>-9.215</v>
      </c>
      <c r="G6" s="34">
        <v>15.654</v>
      </c>
      <c r="H6" s="34">
        <v>-0.221</v>
      </c>
      <c r="I6" s="34" t="s">
        <v>17</v>
      </c>
      <c r="J6" s="35">
        <v>-1.132</v>
      </c>
      <c r="K6" s="33">
        <v>7.964</v>
      </c>
      <c r="L6" s="34">
        <v>27.085</v>
      </c>
      <c r="M6" s="34">
        <v>-8.266</v>
      </c>
      <c r="N6" s="34" t="s">
        <v>12</v>
      </c>
      <c r="O6" s="35">
        <v>-1.404</v>
      </c>
      <c r="Q6" s="64"/>
      <c r="R6" s="64"/>
      <c r="S6" s="64"/>
      <c r="T6" s="73"/>
      <c r="U6" s="52" t="s">
        <v>54</v>
      </c>
      <c r="V6" s="73"/>
      <c r="W6" s="26"/>
      <c r="X6" s="26"/>
      <c r="Y6" s="26"/>
      <c r="AA6" s="70"/>
      <c r="AB6" s="70"/>
      <c r="AC6" s="27"/>
    </row>
    <row r="7">
      <c r="A7" s="33">
        <v>-9.981</v>
      </c>
      <c r="B7" s="34">
        <v>21.989</v>
      </c>
      <c r="C7" s="34">
        <v>-7.582</v>
      </c>
      <c r="D7" s="34" t="s">
        <v>10</v>
      </c>
      <c r="E7" s="35">
        <v>-0.207</v>
      </c>
      <c r="F7" s="33">
        <v>-12.586</v>
      </c>
      <c r="G7" s="34">
        <v>-7.954</v>
      </c>
      <c r="H7" s="34">
        <v>0.268</v>
      </c>
      <c r="I7" s="34" t="s">
        <v>17</v>
      </c>
      <c r="J7" s="35">
        <v>-1.091</v>
      </c>
      <c r="K7" s="33">
        <v>11.694</v>
      </c>
      <c r="L7" s="34">
        <v>-16.822</v>
      </c>
      <c r="M7" s="34">
        <v>4.869</v>
      </c>
      <c r="N7" s="34" t="s">
        <v>4</v>
      </c>
      <c r="O7" s="35">
        <v>-1.389</v>
      </c>
      <c r="Q7" s="64"/>
      <c r="R7" s="64"/>
      <c r="S7" s="64"/>
      <c r="T7" s="73"/>
      <c r="U7" s="52" t="s">
        <v>52</v>
      </c>
      <c r="V7" s="73"/>
      <c r="W7" s="26"/>
      <c r="X7" s="26"/>
      <c r="Y7" s="26"/>
      <c r="AA7" s="70"/>
      <c r="AB7" s="70"/>
      <c r="AC7" s="27"/>
    </row>
    <row r="8">
      <c r="A8" s="33">
        <v>-9.74</v>
      </c>
      <c r="B8" s="34">
        <v>8.298</v>
      </c>
      <c r="C8" s="34">
        <v>-7.984</v>
      </c>
      <c r="D8" s="34" t="s">
        <v>11</v>
      </c>
      <c r="E8" s="35">
        <v>-0.206</v>
      </c>
      <c r="F8" s="33">
        <v>-8.241</v>
      </c>
      <c r="G8" s="34">
        <v>10.915</v>
      </c>
      <c r="H8" s="34">
        <v>-8.363</v>
      </c>
      <c r="I8" s="34" t="s">
        <v>9</v>
      </c>
      <c r="J8" s="35">
        <v>-1.089</v>
      </c>
      <c r="K8" s="33">
        <v>-9.034</v>
      </c>
      <c r="L8" s="34">
        <v>8.86</v>
      </c>
      <c r="M8" s="34">
        <v>-0.187</v>
      </c>
      <c r="N8" s="34" t="s">
        <v>16</v>
      </c>
      <c r="O8" s="35">
        <v>-1.364</v>
      </c>
      <c r="T8" s="26"/>
      <c r="U8" s="26"/>
      <c r="V8" s="26"/>
      <c r="W8" s="26"/>
      <c r="X8" s="26"/>
      <c r="Y8" s="26"/>
      <c r="AA8" s="70"/>
      <c r="AB8" s="70"/>
      <c r="AC8" s="27"/>
    </row>
    <row r="9">
      <c r="A9" s="33">
        <v>-8.438</v>
      </c>
      <c r="B9" s="34">
        <v>9.472</v>
      </c>
      <c r="C9" s="34">
        <v>-8.076</v>
      </c>
      <c r="D9" s="34" t="s">
        <v>9</v>
      </c>
      <c r="E9" s="35">
        <v>-0.2</v>
      </c>
      <c r="F9" s="33">
        <v>-1.199</v>
      </c>
      <c r="G9" s="34">
        <v>13.554</v>
      </c>
      <c r="H9" s="34">
        <v>-0.768</v>
      </c>
      <c r="I9" s="34" t="s">
        <v>15</v>
      </c>
      <c r="J9" s="35">
        <v>-1.068</v>
      </c>
      <c r="K9" s="33">
        <v>-13.213</v>
      </c>
      <c r="L9" s="34">
        <v>-6.968</v>
      </c>
      <c r="M9" s="34">
        <v>-0.944</v>
      </c>
      <c r="N9" s="34" t="s">
        <v>4</v>
      </c>
      <c r="O9" s="35">
        <v>-1.348</v>
      </c>
      <c r="T9" s="26"/>
      <c r="U9" s="26"/>
      <c r="V9" s="26"/>
      <c r="W9" s="26"/>
      <c r="X9" s="26"/>
      <c r="Y9" s="26"/>
      <c r="AA9" s="70"/>
      <c r="AB9" s="70"/>
      <c r="AC9" s="27"/>
    </row>
    <row r="10">
      <c r="A10" s="33">
        <v>-7.899</v>
      </c>
      <c r="B10" s="34">
        <v>2.644</v>
      </c>
      <c r="C10" s="34">
        <v>15.169</v>
      </c>
      <c r="D10" s="34" t="s">
        <v>12</v>
      </c>
      <c r="E10" s="35">
        <v>-0.198</v>
      </c>
      <c r="F10" s="33">
        <v>7.673</v>
      </c>
      <c r="G10" s="34">
        <v>-6.743</v>
      </c>
      <c r="H10" s="34">
        <v>5.1</v>
      </c>
      <c r="I10" s="34" t="s">
        <v>2</v>
      </c>
      <c r="J10" s="35">
        <v>-1.047</v>
      </c>
      <c r="K10" s="33">
        <v>-22.21</v>
      </c>
      <c r="L10" s="34">
        <v>2.342</v>
      </c>
      <c r="M10" s="34">
        <v>-8.771</v>
      </c>
      <c r="N10" s="34" t="s">
        <v>4</v>
      </c>
      <c r="O10" s="35">
        <v>-1.332</v>
      </c>
      <c r="T10" s="26"/>
      <c r="U10" s="26"/>
      <c r="V10" s="26"/>
      <c r="W10" s="26"/>
      <c r="X10" s="26"/>
      <c r="Y10" s="26"/>
      <c r="AA10" s="70"/>
      <c r="AB10" s="70"/>
      <c r="AC10" s="27"/>
    </row>
    <row r="11">
      <c r="A11" s="33">
        <v>-8.145</v>
      </c>
      <c r="B11" s="34">
        <v>9.609</v>
      </c>
      <c r="C11" s="34">
        <v>-7.839</v>
      </c>
      <c r="D11" s="34" t="s">
        <v>3</v>
      </c>
      <c r="E11" s="35">
        <v>-0.187</v>
      </c>
      <c r="F11" s="33">
        <v>7.096</v>
      </c>
      <c r="G11" s="34">
        <v>15.209</v>
      </c>
      <c r="H11" s="34">
        <v>1.669</v>
      </c>
      <c r="I11" s="34" t="s">
        <v>15</v>
      </c>
      <c r="J11" s="35">
        <v>-1.042</v>
      </c>
      <c r="K11" s="33">
        <v>16.347</v>
      </c>
      <c r="L11" s="34">
        <v>0.983</v>
      </c>
      <c r="M11" s="34">
        <v>-0.485</v>
      </c>
      <c r="N11" s="34" t="s">
        <v>13</v>
      </c>
      <c r="O11" s="35">
        <v>-1.3</v>
      </c>
      <c r="T11" s="26"/>
      <c r="U11" s="26"/>
      <c r="V11" s="26"/>
      <c r="W11" s="26"/>
      <c r="X11" s="26"/>
      <c r="Y11" s="26"/>
      <c r="AA11" s="70"/>
      <c r="AB11" s="70"/>
      <c r="AC11" s="27"/>
    </row>
    <row r="12">
      <c r="A12" s="38">
        <v>-11.118</v>
      </c>
      <c r="B12" s="39">
        <v>21.944</v>
      </c>
      <c r="C12" s="39">
        <v>-7.262</v>
      </c>
      <c r="D12" s="40" t="s">
        <v>7</v>
      </c>
      <c r="E12" s="41">
        <v>-0.186</v>
      </c>
      <c r="F12" s="33">
        <v>-9.034</v>
      </c>
      <c r="G12" s="34">
        <v>6.943</v>
      </c>
      <c r="H12" s="34">
        <v>4.326</v>
      </c>
      <c r="I12" s="34" t="s">
        <v>4</v>
      </c>
      <c r="J12" s="35">
        <v>-1.04</v>
      </c>
      <c r="K12" s="33">
        <v>-2.888</v>
      </c>
      <c r="L12" s="34">
        <v>1.695</v>
      </c>
      <c r="M12" s="34">
        <v>16.46</v>
      </c>
      <c r="N12" s="34" t="s">
        <v>15</v>
      </c>
      <c r="O12" s="35">
        <v>-1.298</v>
      </c>
      <c r="T12" s="26"/>
      <c r="U12" s="26"/>
      <c r="V12" s="26"/>
      <c r="W12" s="26"/>
      <c r="X12" s="26"/>
      <c r="Y12" s="26"/>
      <c r="AA12" s="70"/>
      <c r="AB12" s="70"/>
      <c r="AC12" s="27"/>
    </row>
    <row r="13">
      <c r="A13" s="38">
        <v>1.931</v>
      </c>
      <c r="B13" s="39">
        <v>6.045</v>
      </c>
      <c r="C13" s="39">
        <v>16.412</v>
      </c>
      <c r="D13" s="40" t="s">
        <v>3</v>
      </c>
      <c r="E13" s="41">
        <v>-0.186</v>
      </c>
      <c r="F13" s="33">
        <v>12.922</v>
      </c>
      <c r="G13" s="34">
        <v>0.706</v>
      </c>
      <c r="H13" s="34">
        <v>-3.217</v>
      </c>
      <c r="I13" s="34" t="s">
        <v>18</v>
      </c>
      <c r="J13" s="35">
        <v>-1.038</v>
      </c>
      <c r="K13" s="33">
        <v>-5.577</v>
      </c>
      <c r="L13" s="34">
        <v>16.06</v>
      </c>
      <c r="M13" s="34">
        <v>-0.343</v>
      </c>
      <c r="N13" s="34" t="s">
        <v>19</v>
      </c>
      <c r="O13" s="35">
        <v>-1.282</v>
      </c>
      <c r="T13" s="26"/>
      <c r="U13" s="26"/>
      <c r="V13" s="26"/>
      <c r="W13" s="26"/>
      <c r="X13" s="26"/>
      <c r="Y13" s="26"/>
      <c r="AA13" s="70"/>
      <c r="AB13" s="70"/>
      <c r="AC13" s="27"/>
    </row>
    <row r="14">
      <c r="A14" s="38">
        <v>0.976</v>
      </c>
      <c r="B14" s="39">
        <v>6.118</v>
      </c>
      <c r="C14" s="39">
        <v>18.132</v>
      </c>
      <c r="D14" s="40" t="s">
        <v>15</v>
      </c>
      <c r="E14" s="41">
        <v>-0.176</v>
      </c>
      <c r="F14" s="33">
        <v>5.964</v>
      </c>
      <c r="G14" s="34">
        <v>3.417</v>
      </c>
      <c r="H14" s="34">
        <v>-2.333</v>
      </c>
      <c r="I14" s="34" t="s">
        <v>7</v>
      </c>
      <c r="J14" s="35">
        <v>-1.032</v>
      </c>
      <c r="K14" s="33">
        <v>18.146</v>
      </c>
      <c r="L14" s="34">
        <v>-12.423</v>
      </c>
      <c r="M14" s="34">
        <v>-5.173</v>
      </c>
      <c r="N14" s="34" t="s">
        <v>4</v>
      </c>
      <c r="O14" s="35">
        <v>-1.276</v>
      </c>
      <c r="T14" s="26"/>
      <c r="U14" s="26"/>
      <c r="V14" s="26"/>
      <c r="W14" s="26"/>
      <c r="X14" s="26"/>
      <c r="Y14" s="26"/>
      <c r="AA14" s="70"/>
      <c r="AB14" s="70"/>
      <c r="AC14" s="27"/>
    </row>
    <row r="15">
      <c r="A15" s="42">
        <v>-14.002</v>
      </c>
      <c r="B15" s="43">
        <v>4.303</v>
      </c>
      <c r="C15" s="43">
        <v>-0.909</v>
      </c>
      <c r="D15" s="44" t="s">
        <v>4</v>
      </c>
      <c r="E15" s="45">
        <v>-0.173</v>
      </c>
      <c r="F15" s="46">
        <v>12.5</v>
      </c>
      <c r="G15" s="47">
        <v>-3.643</v>
      </c>
      <c r="H15" s="47">
        <v>-8.409</v>
      </c>
      <c r="I15" s="47" t="s">
        <v>9</v>
      </c>
      <c r="J15" s="48">
        <v>-1.025</v>
      </c>
      <c r="K15" s="46">
        <v>-9.691</v>
      </c>
      <c r="L15" s="47">
        <v>4.747</v>
      </c>
      <c r="M15" s="47">
        <v>14.163</v>
      </c>
      <c r="N15" s="47" t="s">
        <v>12</v>
      </c>
      <c r="O15" s="48">
        <v>-1.26</v>
      </c>
      <c r="P15" s="49"/>
      <c r="T15" s="26"/>
      <c r="U15" s="26"/>
      <c r="V15" s="26"/>
      <c r="W15" s="26"/>
      <c r="X15" s="26"/>
      <c r="Y15" s="26"/>
      <c r="AA15" s="70"/>
      <c r="AB15" s="70"/>
      <c r="AC15" s="27"/>
    </row>
    <row r="16">
      <c r="A16" s="42">
        <v>-10.687</v>
      </c>
      <c r="B16" s="43">
        <v>9.55</v>
      </c>
      <c r="C16" s="43">
        <v>-8.438</v>
      </c>
      <c r="D16" s="44" t="s">
        <v>4</v>
      </c>
      <c r="E16" s="45">
        <v>-0.171</v>
      </c>
      <c r="F16" s="46">
        <v>-9.632</v>
      </c>
      <c r="G16" s="47">
        <v>14.806</v>
      </c>
      <c r="H16" s="47">
        <v>-3.527</v>
      </c>
      <c r="I16" s="47" t="s">
        <v>12</v>
      </c>
      <c r="J16" s="48">
        <v>-1.021</v>
      </c>
      <c r="K16" s="46">
        <v>6.077</v>
      </c>
      <c r="L16" s="47">
        <v>1.602</v>
      </c>
      <c r="M16" s="47">
        <v>-25.291</v>
      </c>
      <c r="N16" s="47" t="s">
        <v>4</v>
      </c>
      <c r="O16" s="48">
        <v>-1.255</v>
      </c>
      <c r="P16" s="50"/>
      <c r="T16" s="26"/>
      <c r="U16" s="26"/>
      <c r="V16" s="26"/>
      <c r="W16" s="26"/>
      <c r="X16" s="26"/>
      <c r="Y16" s="26"/>
      <c r="AA16" s="70"/>
      <c r="AB16" s="70"/>
      <c r="AC16" s="27"/>
    </row>
    <row r="17">
      <c r="A17" s="46">
        <v>-7.348</v>
      </c>
      <c r="B17" s="47">
        <v>2.973</v>
      </c>
      <c r="C17" s="47">
        <v>15.663</v>
      </c>
      <c r="D17" s="47" t="s">
        <v>12</v>
      </c>
      <c r="E17" s="48">
        <v>-0.167</v>
      </c>
      <c r="F17" s="46">
        <v>3.428</v>
      </c>
      <c r="G17" s="47">
        <v>19.872</v>
      </c>
      <c r="H17" s="47">
        <v>-1.177</v>
      </c>
      <c r="I17" s="47" t="s">
        <v>6</v>
      </c>
      <c r="J17" s="48">
        <v>-1.02</v>
      </c>
      <c r="K17" s="51">
        <v>0.096</v>
      </c>
      <c r="L17" s="52">
        <v>-13.485</v>
      </c>
      <c r="M17" s="52">
        <v>-27.712</v>
      </c>
      <c r="N17" s="52" t="s">
        <v>4</v>
      </c>
      <c r="O17" s="53">
        <v>-1.194</v>
      </c>
      <c r="P17" s="47"/>
      <c r="T17" s="26"/>
      <c r="U17" s="26"/>
      <c r="V17" s="26"/>
      <c r="W17" s="26"/>
      <c r="X17" s="26"/>
      <c r="Y17" s="26"/>
      <c r="AA17" s="70"/>
      <c r="AB17" s="70"/>
      <c r="AC17" s="27"/>
    </row>
    <row r="18">
      <c r="A18" s="46">
        <v>-22.94</v>
      </c>
      <c r="B18" s="47">
        <v>6.263</v>
      </c>
      <c r="C18" s="47">
        <v>-9.699</v>
      </c>
      <c r="D18" s="47" t="s">
        <v>4</v>
      </c>
      <c r="E18" s="48">
        <v>-0.162</v>
      </c>
      <c r="F18" s="46">
        <v>-8.145</v>
      </c>
      <c r="G18" s="47">
        <v>9.609</v>
      </c>
      <c r="H18" s="47">
        <v>-7.839</v>
      </c>
      <c r="I18" s="47" t="s">
        <v>3</v>
      </c>
      <c r="J18" s="48">
        <v>-1.02</v>
      </c>
      <c r="K18" s="54">
        <v>-16.176</v>
      </c>
      <c r="L18" s="55">
        <v>-7.604</v>
      </c>
      <c r="M18" s="55">
        <v>-12.847</v>
      </c>
      <c r="N18" s="55" t="s">
        <v>4</v>
      </c>
      <c r="O18" s="48">
        <v>-1.133</v>
      </c>
      <c r="P18" s="47"/>
      <c r="T18" s="26"/>
      <c r="U18" s="26"/>
      <c r="V18" s="26"/>
      <c r="W18" s="26"/>
      <c r="X18" s="26"/>
      <c r="Y18" s="26"/>
      <c r="AA18" s="70"/>
      <c r="AB18" s="70"/>
      <c r="AC18" s="27"/>
    </row>
    <row r="19">
      <c r="A19" s="46">
        <v>6.108</v>
      </c>
      <c r="B19" s="47">
        <v>4.349</v>
      </c>
      <c r="C19" s="47">
        <v>-26.728</v>
      </c>
      <c r="D19" s="47" t="s">
        <v>4</v>
      </c>
      <c r="E19" s="48">
        <v>-0.161</v>
      </c>
      <c r="F19" s="46">
        <v>-3.695</v>
      </c>
      <c r="G19" s="47">
        <v>-11.076</v>
      </c>
      <c r="H19" s="47">
        <v>-19.776</v>
      </c>
      <c r="I19" s="47" t="s">
        <v>3</v>
      </c>
      <c r="J19" s="48">
        <v>-1.011</v>
      </c>
      <c r="K19" s="46">
        <v>8.449</v>
      </c>
      <c r="L19" s="47">
        <v>21.352</v>
      </c>
      <c r="M19" s="47">
        <v>-9.078</v>
      </c>
      <c r="N19" s="47" t="s">
        <v>14</v>
      </c>
      <c r="O19" s="48">
        <v>-1.109</v>
      </c>
      <c r="P19" s="47"/>
      <c r="T19" s="26"/>
      <c r="U19" s="26"/>
      <c r="V19" s="26"/>
      <c r="W19" s="26"/>
      <c r="X19" s="26"/>
      <c r="Y19" s="26"/>
      <c r="AA19" s="70"/>
      <c r="AB19" s="70"/>
      <c r="AC19" s="27"/>
    </row>
    <row r="20">
      <c r="A20" s="46">
        <v>-15.588</v>
      </c>
      <c r="B20" s="47">
        <v>0.268</v>
      </c>
      <c r="C20" s="47">
        <v>5.546</v>
      </c>
      <c r="D20" s="47" t="s">
        <v>12</v>
      </c>
      <c r="E20" s="48">
        <v>-0.16</v>
      </c>
      <c r="F20" s="46">
        <v>0.94</v>
      </c>
      <c r="G20" s="47">
        <v>-12.408</v>
      </c>
      <c r="H20" s="47">
        <v>9.919</v>
      </c>
      <c r="I20" s="47" t="s">
        <v>14</v>
      </c>
      <c r="J20" s="48">
        <v>-0.99</v>
      </c>
      <c r="K20" s="46">
        <v>18.917</v>
      </c>
      <c r="L20" s="47">
        <v>1.384</v>
      </c>
      <c r="M20" s="47">
        <v>-1.222</v>
      </c>
      <c r="N20" s="47" t="s">
        <v>4</v>
      </c>
      <c r="O20" s="48">
        <v>-1.061</v>
      </c>
      <c r="P20" s="47"/>
      <c r="T20" s="26"/>
      <c r="U20" s="26"/>
      <c r="V20" s="26"/>
      <c r="W20" s="26"/>
      <c r="X20" s="26"/>
      <c r="Y20" s="26"/>
      <c r="AA20" s="70"/>
      <c r="AB20" s="70"/>
      <c r="AC20" s="27"/>
    </row>
    <row r="21">
      <c r="A21" s="46">
        <v>-8.241</v>
      </c>
      <c r="B21" s="47">
        <v>10.915</v>
      </c>
      <c r="C21" s="47">
        <v>-8.363</v>
      </c>
      <c r="D21" s="47" t="s">
        <v>9</v>
      </c>
      <c r="E21" s="48">
        <v>-0.16</v>
      </c>
      <c r="F21" s="46">
        <v>0.011</v>
      </c>
      <c r="G21" s="47">
        <v>3.283</v>
      </c>
      <c r="H21" s="47">
        <v>-8.001</v>
      </c>
      <c r="I21" s="47" t="s">
        <v>6</v>
      </c>
      <c r="J21" s="48">
        <v>-0.987</v>
      </c>
      <c r="K21" s="46">
        <v>5.77</v>
      </c>
      <c r="L21" s="47">
        <v>22.306</v>
      </c>
      <c r="M21" s="47">
        <v>-15.668</v>
      </c>
      <c r="N21" s="47" t="s">
        <v>2</v>
      </c>
      <c r="O21" s="48">
        <v>-0.937</v>
      </c>
      <c r="P21" s="47"/>
      <c r="T21" s="26"/>
      <c r="U21" s="26"/>
      <c r="V21" s="26"/>
      <c r="W21" s="26"/>
      <c r="X21" s="26"/>
      <c r="Y21" s="26"/>
      <c r="AA21" s="70"/>
      <c r="AB21" s="70"/>
      <c r="AC21" s="27"/>
    </row>
    <row r="22">
      <c r="A22" s="46">
        <v>-16.049</v>
      </c>
      <c r="B22" s="47">
        <v>0.582</v>
      </c>
      <c r="C22" s="47">
        <v>4.719</v>
      </c>
      <c r="D22" s="47" t="s">
        <v>6</v>
      </c>
      <c r="E22" s="48">
        <v>-0.157</v>
      </c>
      <c r="F22" s="46">
        <v>0.143</v>
      </c>
      <c r="G22" s="47">
        <v>-1.067</v>
      </c>
      <c r="H22" s="47">
        <v>20.597</v>
      </c>
      <c r="I22" s="47" t="s">
        <v>12</v>
      </c>
      <c r="J22" s="48">
        <v>-0.982</v>
      </c>
      <c r="K22" s="46">
        <v>-1.916</v>
      </c>
      <c r="L22" s="47">
        <v>-20.232</v>
      </c>
      <c r="M22" s="47">
        <v>-15.269</v>
      </c>
      <c r="N22" s="47" t="s">
        <v>13</v>
      </c>
      <c r="O22" s="48">
        <v>-0.936</v>
      </c>
      <c r="P22" s="47"/>
      <c r="T22" s="26"/>
      <c r="U22" s="26"/>
      <c r="V22" s="26"/>
      <c r="W22" s="26"/>
      <c r="X22" s="26"/>
      <c r="Y22" s="26"/>
      <c r="AA22" s="70"/>
      <c r="AB22" s="70"/>
      <c r="AC22" s="27"/>
    </row>
    <row r="23">
      <c r="A23" s="46">
        <v>14.723</v>
      </c>
      <c r="B23" s="47">
        <v>1.907</v>
      </c>
      <c r="C23" s="47">
        <v>-21.175</v>
      </c>
      <c r="D23" s="47" t="s">
        <v>4</v>
      </c>
      <c r="E23" s="48">
        <v>-0.155</v>
      </c>
      <c r="F23" s="46">
        <v>-11.551</v>
      </c>
      <c r="G23" s="47">
        <v>-0.349</v>
      </c>
      <c r="H23" s="47">
        <v>8.12</v>
      </c>
      <c r="I23" s="47" t="s">
        <v>10</v>
      </c>
      <c r="J23" s="48">
        <v>-0.972</v>
      </c>
      <c r="K23" s="46">
        <v>-13.794</v>
      </c>
      <c r="L23" s="47">
        <v>-8.761</v>
      </c>
      <c r="M23" s="47">
        <v>-1.983</v>
      </c>
      <c r="N23" s="47" t="s">
        <v>15</v>
      </c>
      <c r="O23" s="48">
        <v>-0.935</v>
      </c>
      <c r="P23" s="47"/>
      <c r="T23" s="26"/>
      <c r="U23" s="26"/>
      <c r="V23" s="26"/>
      <c r="W23" s="26"/>
      <c r="X23" s="26"/>
      <c r="Y23" s="26"/>
      <c r="AA23" s="70"/>
      <c r="AB23" s="70"/>
      <c r="AC23" s="27"/>
    </row>
    <row r="24">
      <c r="A24" s="46">
        <v>4.263</v>
      </c>
      <c r="B24" s="47">
        <v>4.754</v>
      </c>
      <c r="C24" s="47">
        <v>16.804</v>
      </c>
      <c r="D24" s="47" t="s">
        <v>5</v>
      </c>
      <c r="E24" s="48">
        <v>-0.154</v>
      </c>
      <c r="F24" s="46">
        <v>-4.74</v>
      </c>
      <c r="G24" s="47">
        <v>-4.56</v>
      </c>
      <c r="H24" s="47">
        <v>18.031</v>
      </c>
      <c r="I24" s="47" t="s">
        <v>17</v>
      </c>
      <c r="J24" s="48">
        <v>-0.963</v>
      </c>
      <c r="K24" s="46">
        <v>-12.933</v>
      </c>
      <c r="L24" s="47">
        <v>-5.0</v>
      </c>
      <c r="M24" s="47">
        <v>1.033</v>
      </c>
      <c r="N24" s="47" t="s">
        <v>10</v>
      </c>
      <c r="O24" s="48">
        <v>-0.934</v>
      </c>
      <c r="P24" s="47"/>
      <c r="T24" s="26"/>
      <c r="U24" s="26"/>
      <c r="V24" s="26"/>
      <c r="W24" s="26"/>
      <c r="X24" s="26"/>
      <c r="Y24" s="26"/>
      <c r="AA24" s="70"/>
      <c r="AB24" s="70"/>
      <c r="AC24" s="27"/>
    </row>
    <row r="25">
      <c r="A25" s="46">
        <v>-9.034</v>
      </c>
      <c r="B25" s="47">
        <v>8.86</v>
      </c>
      <c r="C25" s="47">
        <v>-0.187</v>
      </c>
      <c r="D25" s="47" t="s">
        <v>16</v>
      </c>
      <c r="E25" s="48">
        <v>-0.153</v>
      </c>
      <c r="F25" s="46">
        <v>2.558</v>
      </c>
      <c r="G25" s="47">
        <v>22.576</v>
      </c>
      <c r="H25" s="47">
        <v>-4.093</v>
      </c>
      <c r="I25" s="47" t="s">
        <v>12</v>
      </c>
      <c r="J25" s="48">
        <v>-0.962</v>
      </c>
      <c r="K25" s="46">
        <v>12.181</v>
      </c>
      <c r="L25" s="47">
        <v>-14.698</v>
      </c>
      <c r="M25" s="47">
        <v>-11.723</v>
      </c>
      <c r="N25" s="47" t="s">
        <v>7</v>
      </c>
      <c r="O25" s="48">
        <v>-0.916</v>
      </c>
      <c r="P25" s="47"/>
      <c r="T25" s="26"/>
      <c r="U25" s="26"/>
      <c r="V25" s="26"/>
      <c r="W25" s="26"/>
      <c r="X25" s="26"/>
      <c r="Y25" s="26"/>
      <c r="AA25" s="70"/>
      <c r="AB25" s="70"/>
      <c r="AC25" s="27"/>
    </row>
    <row r="26">
      <c r="A26" s="46">
        <v>-7.954</v>
      </c>
      <c r="B26" s="47">
        <v>10.222</v>
      </c>
      <c r="C26" s="47">
        <v>-8.469</v>
      </c>
      <c r="D26" s="47" t="s">
        <v>18</v>
      </c>
      <c r="E26" s="48">
        <v>-0.152</v>
      </c>
      <c r="F26" s="46">
        <v>-16.116</v>
      </c>
      <c r="G26" s="47">
        <v>-3.94</v>
      </c>
      <c r="H26" s="47">
        <v>8.38</v>
      </c>
      <c r="I26" s="47" t="s">
        <v>10</v>
      </c>
      <c r="J26" s="48">
        <v>-0.961</v>
      </c>
      <c r="K26" s="46">
        <v>7.702</v>
      </c>
      <c r="L26" s="47">
        <v>-1.872</v>
      </c>
      <c r="M26" s="47">
        <v>-20.21</v>
      </c>
      <c r="N26" s="47" t="s">
        <v>6</v>
      </c>
      <c r="O26" s="48">
        <v>-0.907</v>
      </c>
      <c r="P26" s="47"/>
      <c r="T26" s="26"/>
      <c r="U26" s="26"/>
      <c r="V26" s="26"/>
      <c r="W26" s="26"/>
      <c r="X26" s="26"/>
      <c r="Y26" s="26"/>
      <c r="AA26" s="70"/>
      <c r="AB26" s="70"/>
      <c r="AC26" s="27"/>
    </row>
    <row r="27">
      <c r="A27" s="46">
        <v>-14.505</v>
      </c>
      <c r="B27" s="47">
        <v>0.165</v>
      </c>
      <c r="C27" s="47">
        <v>6.248</v>
      </c>
      <c r="D27" s="47" t="s">
        <v>9</v>
      </c>
      <c r="E27" s="48">
        <v>-0.151</v>
      </c>
      <c r="F27" s="46">
        <v>-4.963</v>
      </c>
      <c r="G27" s="47">
        <v>15.078</v>
      </c>
      <c r="H27" s="47">
        <v>6.313</v>
      </c>
      <c r="I27" s="47" t="s">
        <v>17</v>
      </c>
      <c r="J27" s="48">
        <v>-0.957</v>
      </c>
      <c r="K27" s="56">
        <v>0.722</v>
      </c>
      <c r="L27" s="57">
        <v>20.427</v>
      </c>
      <c r="M27" s="57">
        <v>-2.193</v>
      </c>
      <c r="N27" s="57" t="s">
        <v>16</v>
      </c>
      <c r="O27" s="58">
        <v>-0.885</v>
      </c>
      <c r="P27" s="47"/>
      <c r="T27" s="26"/>
      <c r="U27" s="26"/>
      <c r="V27" s="26"/>
      <c r="W27" s="26"/>
      <c r="X27" s="26"/>
      <c r="Y27" s="26"/>
      <c r="AA27" s="70"/>
      <c r="AB27" s="70"/>
      <c r="AC27" s="27"/>
    </row>
    <row r="28">
      <c r="A28" s="46">
        <v>-9.246</v>
      </c>
      <c r="B28" s="47">
        <v>8.438</v>
      </c>
      <c r="C28" s="47">
        <v>-0.039</v>
      </c>
      <c r="D28" s="47" t="s">
        <v>3</v>
      </c>
      <c r="E28" s="48">
        <v>-0.143</v>
      </c>
      <c r="F28" s="46">
        <v>-2.577</v>
      </c>
      <c r="G28" s="47">
        <v>-0.156</v>
      </c>
      <c r="H28" s="47">
        <v>17.906</v>
      </c>
      <c r="I28" s="47" t="s">
        <v>15</v>
      </c>
      <c r="J28" s="48">
        <v>-0.956</v>
      </c>
      <c r="K28" s="56">
        <v>12.658</v>
      </c>
      <c r="L28" s="57">
        <v>-13.615</v>
      </c>
      <c r="M28" s="57">
        <v>-11.944</v>
      </c>
      <c r="N28" s="57" t="s">
        <v>3</v>
      </c>
      <c r="O28" s="58">
        <v>-0.885</v>
      </c>
      <c r="P28" s="47"/>
      <c r="T28" s="26"/>
      <c r="U28" s="26"/>
      <c r="V28" s="26"/>
      <c r="W28" s="26"/>
      <c r="X28" s="26"/>
      <c r="Y28" s="26"/>
      <c r="AA28" s="70"/>
      <c r="AB28" s="70"/>
      <c r="AC28" s="27"/>
    </row>
    <row r="29">
      <c r="A29" s="46">
        <v>-1.864</v>
      </c>
      <c r="B29" s="47">
        <v>-14.618</v>
      </c>
      <c r="C29" s="47">
        <v>-26.146</v>
      </c>
      <c r="D29" s="47" t="s">
        <v>4</v>
      </c>
      <c r="E29" s="48">
        <v>-0.142</v>
      </c>
      <c r="F29" s="46">
        <v>-6.923</v>
      </c>
      <c r="G29" s="47">
        <v>-4.93</v>
      </c>
      <c r="H29" s="47">
        <v>18.017</v>
      </c>
      <c r="I29" s="47" t="s">
        <v>10</v>
      </c>
      <c r="J29" s="48">
        <v>-0.947</v>
      </c>
      <c r="K29" s="56">
        <v>-2.706</v>
      </c>
      <c r="L29" s="57">
        <v>-5.691</v>
      </c>
      <c r="M29" s="57">
        <v>-28.663</v>
      </c>
      <c r="N29" s="57" t="s">
        <v>13</v>
      </c>
      <c r="O29" s="58">
        <v>-0.88</v>
      </c>
      <c r="P29" s="47"/>
      <c r="T29" s="26"/>
      <c r="U29" s="26"/>
      <c r="V29" s="26"/>
      <c r="W29" s="26"/>
      <c r="X29" s="26"/>
      <c r="Y29" s="26"/>
      <c r="AA29" s="70"/>
      <c r="AB29" s="70"/>
      <c r="AC29" s="27"/>
    </row>
    <row r="30">
      <c r="A30" s="46">
        <v>2.687</v>
      </c>
      <c r="B30" s="47">
        <v>7.177</v>
      </c>
      <c r="C30" s="47">
        <v>2.501</v>
      </c>
      <c r="D30" s="47" t="s">
        <v>6</v>
      </c>
      <c r="E30" s="48">
        <v>-0.139</v>
      </c>
      <c r="F30" s="46">
        <v>-6.305</v>
      </c>
      <c r="G30" s="47">
        <v>16.695</v>
      </c>
      <c r="H30" s="47">
        <v>1.839</v>
      </c>
      <c r="I30" s="47" t="s">
        <v>19</v>
      </c>
      <c r="J30" s="48">
        <v>-0.94</v>
      </c>
      <c r="K30" s="56">
        <v>-7.922</v>
      </c>
      <c r="L30" s="57">
        <v>22.711</v>
      </c>
      <c r="M30" s="57">
        <v>-9.454</v>
      </c>
      <c r="N30" s="57" t="s">
        <v>10</v>
      </c>
      <c r="O30" s="58">
        <v>-0.875</v>
      </c>
      <c r="P30" s="47"/>
      <c r="T30" s="26"/>
      <c r="U30" s="26"/>
      <c r="V30" s="26"/>
      <c r="W30" s="26"/>
      <c r="X30" s="26"/>
      <c r="Y30" s="26"/>
      <c r="AA30" s="70"/>
      <c r="AB30" s="70"/>
      <c r="AC30" s="27"/>
    </row>
    <row r="31">
      <c r="A31" s="46">
        <v>3.591</v>
      </c>
      <c r="B31" s="47">
        <v>5.344</v>
      </c>
      <c r="C31" s="47">
        <v>17.971</v>
      </c>
      <c r="D31" s="47" t="s">
        <v>8</v>
      </c>
      <c r="E31" s="48">
        <v>-0.138</v>
      </c>
      <c r="F31" s="46">
        <v>-14.611</v>
      </c>
      <c r="G31" s="47">
        <v>-3.487</v>
      </c>
      <c r="H31" s="47">
        <v>-14.93</v>
      </c>
      <c r="I31" s="47" t="s">
        <v>7</v>
      </c>
      <c r="J31" s="48">
        <v>-0.939</v>
      </c>
      <c r="K31" s="46">
        <v>-18.224</v>
      </c>
      <c r="L31" s="47">
        <v>-0.001</v>
      </c>
      <c r="M31" s="47">
        <v>-4.413</v>
      </c>
      <c r="N31" s="47" t="s">
        <v>10</v>
      </c>
      <c r="O31" s="48">
        <v>-0.875</v>
      </c>
      <c r="T31" s="26"/>
      <c r="U31" s="26"/>
      <c r="V31" s="26"/>
      <c r="W31" s="26"/>
      <c r="X31" s="26"/>
      <c r="Y31" s="26"/>
      <c r="AA31" s="70"/>
      <c r="AB31" s="70"/>
      <c r="AC31" s="27"/>
    </row>
    <row r="32">
      <c r="A32" s="46">
        <v>3.574</v>
      </c>
      <c r="B32" s="47">
        <v>7.84</v>
      </c>
      <c r="C32" s="47">
        <v>2.266</v>
      </c>
      <c r="D32" s="47" t="s">
        <v>15</v>
      </c>
      <c r="E32" s="48">
        <v>-0.138</v>
      </c>
      <c r="F32" s="46">
        <v>-11.182</v>
      </c>
      <c r="G32" s="47">
        <v>-16.855</v>
      </c>
      <c r="H32" s="47">
        <v>5.025</v>
      </c>
      <c r="I32" s="47" t="s">
        <v>7</v>
      </c>
      <c r="J32" s="48">
        <v>-0.922</v>
      </c>
      <c r="K32" s="46">
        <v>8.064</v>
      </c>
      <c r="L32" s="47">
        <v>-7.385</v>
      </c>
      <c r="M32" s="47">
        <v>4.34</v>
      </c>
      <c r="N32" s="47" t="s">
        <v>2</v>
      </c>
      <c r="O32" s="48">
        <v>-0.871</v>
      </c>
      <c r="T32" s="26"/>
      <c r="U32" s="26"/>
      <c r="V32" s="26"/>
      <c r="W32" s="26"/>
      <c r="X32" s="26"/>
      <c r="Y32" s="26"/>
      <c r="AA32" s="70"/>
      <c r="AB32" s="70"/>
      <c r="AC32" s="27"/>
    </row>
    <row r="33">
      <c r="A33" s="46">
        <v>-16.898</v>
      </c>
      <c r="B33" s="47">
        <v>15.84</v>
      </c>
      <c r="C33" s="47">
        <v>2.215</v>
      </c>
      <c r="D33" s="47" t="s">
        <v>16</v>
      </c>
      <c r="E33" s="48">
        <v>-0.137</v>
      </c>
      <c r="F33" s="46">
        <v>-1.247</v>
      </c>
      <c r="G33" s="47">
        <v>21.071</v>
      </c>
      <c r="H33" s="47">
        <v>-14.027</v>
      </c>
      <c r="I33" s="47" t="s">
        <v>15</v>
      </c>
      <c r="J33" s="48">
        <v>-0.921</v>
      </c>
      <c r="K33" s="46">
        <v>8.038</v>
      </c>
      <c r="L33" s="47">
        <v>-7.208</v>
      </c>
      <c r="M33" s="47">
        <v>4.387</v>
      </c>
      <c r="N33" s="47" t="s">
        <v>2</v>
      </c>
      <c r="O33" s="48">
        <v>-0.869</v>
      </c>
      <c r="T33" s="26"/>
      <c r="U33" s="26"/>
      <c r="V33" s="26"/>
      <c r="W33" s="26"/>
      <c r="X33" s="26"/>
      <c r="Y33" s="26"/>
      <c r="AA33" s="70"/>
      <c r="AB33" s="70"/>
      <c r="AC33" s="27"/>
    </row>
    <row r="34">
      <c r="A34" s="59">
        <v>20.873</v>
      </c>
      <c r="B34" s="60">
        <v>-0.287</v>
      </c>
      <c r="C34" s="60">
        <v>-0.727</v>
      </c>
      <c r="D34" s="60" t="s">
        <v>4</v>
      </c>
      <c r="E34" s="61">
        <v>-0.136</v>
      </c>
      <c r="F34" s="59">
        <v>6.13</v>
      </c>
      <c r="G34" s="60">
        <v>19.623</v>
      </c>
      <c r="H34" s="60">
        <v>-11.225</v>
      </c>
      <c r="I34" s="60" t="s">
        <v>14</v>
      </c>
      <c r="J34" s="61">
        <v>-0.918</v>
      </c>
      <c r="K34" s="59">
        <v>8.184</v>
      </c>
      <c r="L34" s="60">
        <v>0.083</v>
      </c>
      <c r="M34" s="60">
        <v>-20.187</v>
      </c>
      <c r="N34" s="60" t="s">
        <v>2</v>
      </c>
      <c r="O34" s="61">
        <v>-0.861</v>
      </c>
      <c r="T34" s="26"/>
      <c r="U34" s="26"/>
      <c r="V34" s="26"/>
      <c r="W34" s="26"/>
      <c r="X34" s="26"/>
      <c r="Y34" s="26"/>
      <c r="AA34" s="70"/>
      <c r="AB34" s="70"/>
      <c r="AC34" s="27"/>
    </row>
    <row r="35">
      <c r="A35" s="12" t="s">
        <v>34</v>
      </c>
      <c r="B35" s="12"/>
      <c r="C35" s="12"/>
      <c r="D35" s="13"/>
      <c r="E35" s="13"/>
      <c r="F35" s="14" t="s">
        <v>35</v>
      </c>
      <c r="G35" s="14"/>
      <c r="H35" s="14"/>
      <c r="I35" s="13"/>
      <c r="J35" s="13"/>
      <c r="K35" s="14" t="s">
        <v>36</v>
      </c>
      <c r="L35" s="14"/>
      <c r="M35" s="14"/>
      <c r="N35" s="13"/>
      <c r="O35" s="13"/>
      <c r="T35" s="26"/>
      <c r="U35" s="26"/>
      <c r="V35" s="26"/>
      <c r="W35" s="26"/>
      <c r="X35" s="26"/>
      <c r="Y35" s="26"/>
      <c r="AA35" s="70"/>
      <c r="AB35" s="70"/>
      <c r="AC35" s="27"/>
    </row>
    <row r="36">
      <c r="A36" s="20" t="s">
        <v>37</v>
      </c>
      <c r="B36" s="21" t="s">
        <v>38</v>
      </c>
      <c r="C36" s="21" t="s">
        <v>39</v>
      </c>
      <c r="D36" s="21" t="s">
        <v>40</v>
      </c>
      <c r="E36" s="22" t="s">
        <v>41</v>
      </c>
      <c r="F36" s="20" t="s">
        <v>37</v>
      </c>
      <c r="G36" s="21" t="s">
        <v>38</v>
      </c>
      <c r="H36" s="21" t="s">
        <v>39</v>
      </c>
      <c r="I36" s="21" t="s">
        <v>40</v>
      </c>
      <c r="J36" s="22" t="s">
        <v>41</v>
      </c>
      <c r="K36" s="20" t="s">
        <v>37</v>
      </c>
      <c r="L36" s="21" t="s">
        <v>38</v>
      </c>
      <c r="M36" s="21" t="s">
        <v>39</v>
      </c>
      <c r="N36" s="21" t="s">
        <v>40</v>
      </c>
      <c r="O36" s="22" t="s">
        <v>41</v>
      </c>
      <c r="T36" s="26"/>
      <c r="U36" s="26"/>
      <c r="V36" s="26"/>
      <c r="W36" s="26"/>
      <c r="X36" s="26"/>
      <c r="Y36" s="26"/>
      <c r="AA36" s="70"/>
      <c r="AB36" s="70"/>
      <c r="AC36" s="27"/>
    </row>
    <row r="37">
      <c r="A37" s="28">
        <v>-16.377</v>
      </c>
      <c r="B37" s="29">
        <v>11.483</v>
      </c>
      <c r="C37" s="29">
        <v>6.373</v>
      </c>
      <c r="D37" s="29" t="s">
        <v>7</v>
      </c>
      <c r="E37" s="30">
        <v>-1.232</v>
      </c>
      <c r="F37" s="28">
        <v>-16.377</v>
      </c>
      <c r="G37" s="29">
        <v>11.483</v>
      </c>
      <c r="H37" s="29">
        <v>6.373</v>
      </c>
      <c r="I37" s="29" t="s">
        <v>7</v>
      </c>
      <c r="J37" s="30">
        <v>-1.339</v>
      </c>
      <c r="K37" s="28">
        <v>-3.695</v>
      </c>
      <c r="L37" s="29">
        <v>-11.076</v>
      </c>
      <c r="M37" s="29">
        <v>-19.776</v>
      </c>
      <c r="N37" s="29" t="s">
        <v>3</v>
      </c>
      <c r="O37" s="30">
        <v>-0.841</v>
      </c>
      <c r="T37" s="26"/>
      <c r="U37" s="26"/>
      <c r="V37" s="26"/>
      <c r="W37" s="26"/>
      <c r="X37" s="26"/>
      <c r="Y37" s="26"/>
      <c r="AA37" s="70"/>
      <c r="AB37" s="70"/>
      <c r="AC37" s="27"/>
    </row>
    <row r="38">
      <c r="A38" s="33">
        <v>5.77</v>
      </c>
      <c r="B38" s="34">
        <v>22.306</v>
      </c>
      <c r="C38" s="34">
        <v>-15.668</v>
      </c>
      <c r="D38" s="34" t="s">
        <v>2</v>
      </c>
      <c r="E38" s="35">
        <v>-1.194</v>
      </c>
      <c r="F38" s="33">
        <v>-16.322</v>
      </c>
      <c r="G38" s="34">
        <v>-16.051</v>
      </c>
      <c r="H38" s="34">
        <v>-0.231</v>
      </c>
      <c r="I38" s="34" t="s">
        <v>6</v>
      </c>
      <c r="J38" s="35">
        <v>-1.339</v>
      </c>
      <c r="K38" s="33">
        <v>4.202</v>
      </c>
      <c r="L38" s="34">
        <v>-18.184</v>
      </c>
      <c r="M38" s="34">
        <v>-17.41</v>
      </c>
      <c r="N38" s="34" t="s">
        <v>4</v>
      </c>
      <c r="O38" s="35">
        <v>-0.789</v>
      </c>
      <c r="T38" s="26"/>
      <c r="U38" s="26"/>
      <c r="V38" s="26"/>
      <c r="W38" s="26"/>
      <c r="X38" s="26"/>
      <c r="Y38" s="26"/>
      <c r="AA38" s="70"/>
      <c r="AB38" s="70"/>
      <c r="AC38" s="27"/>
    </row>
    <row r="39">
      <c r="A39" s="33">
        <v>-16.472</v>
      </c>
      <c r="B39" s="34">
        <v>11.837</v>
      </c>
      <c r="C39" s="34">
        <v>5.971</v>
      </c>
      <c r="D39" s="34" t="s">
        <v>19</v>
      </c>
      <c r="E39" s="35">
        <v>-1.136</v>
      </c>
      <c r="F39" s="33">
        <v>5.495</v>
      </c>
      <c r="G39" s="34">
        <v>22.38</v>
      </c>
      <c r="H39" s="34">
        <v>-15.752</v>
      </c>
      <c r="I39" s="34" t="s">
        <v>2</v>
      </c>
      <c r="J39" s="35">
        <v>-1.29</v>
      </c>
      <c r="K39" s="33">
        <v>5.77</v>
      </c>
      <c r="L39" s="34">
        <v>22.306</v>
      </c>
      <c r="M39" s="34">
        <v>-15.668</v>
      </c>
      <c r="N39" s="34" t="s">
        <v>2</v>
      </c>
      <c r="O39" s="35">
        <v>-0.774</v>
      </c>
      <c r="T39" s="26"/>
      <c r="U39" s="26"/>
      <c r="V39" s="26"/>
      <c r="W39" s="26"/>
      <c r="X39" s="26"/>
      <c r="Y39" s="26"/>
      <c r="AA39" s="70"/>
      <c r="AB39" s="70"/>
      <c r="AC39" s="27"/>
    </row>
    <row r="40">
      <c r="A40" s="33">
        <v>7.992</v>
      </c>
      <c r="B40" s="34">
        <v>-0.939</v>
      </c>
      <c r="C40" s="34">
        <v>-20.434</v>
      </c>
      <c r="D40" s="34" t="s">
        <v>6</v>
      </c>
      <c r="E40" s="35">
        <v>-1.081</v>
      </c>
      <c r="F40" s="33">
        <v>12.181</v>
      </c>
      <c r="G40" s="34">
        <v>-14.698</v>
      </c>
      <c r="H40" s="34">
        <v>-11.723</v>
      </c>
      <c r="I40" s="34" t="s">
        <v>7</v>
      </c>
      <c r="J40" s="35">
        <v>-1.268</v>
      </c>
      <c r="K40" s="33">
        <v>7.992</v>
      </c>
      <c r="L40" s="34">
        <v>-0.939</v>
      </c>
      <c r="M40" s="34">
        <v>-20.434</v>
      </c>
      <c r="N40" s="34" t="s">
        <v>6</v>
      </c>
      <c r="O40" s="35">
        <v>-0.745</v>
      </c>
      <c r="T40" s="26"/>
      <c r="U40" s="26"/>
      <c r="V40" s="26"/>
      <c r="W40" s="26"/>
      <c r="X40" s="26"/>
      <c r="Y40" s="26"/>
      <c r="AA40" s="70"/>
      <c r="AB40" s="70"/>
      <c r="AC40" s="27"/>
    </row>
    <row r="41">
      <c r="A41" s="33">
        <v>-0.833</v>
      </c>
      <c r="B41" s="34">
        <v>-0.531</v>
      </c>
      <c r="C41" s="34">
        <v>20.019</v>
      </c>
      <c r="D41" s="34" t="s">
        <v>12</v>
      </c>
      <c r="E41" s="35">
        <v>-1.079</v>
      </c>
      <c r="F41" s="33">
        <v>7.702</v>
      </c>
      <c r="G41" s="34">
        <v>-1.872</v>
      </c>
      <c r="H41" s="34">
        <v>-20.21</v>
      </c>
      <c r="I41" s="34" t="s">
        <v>6</v>
      </c>
      <c r="J41" s="35">
        <v>-1.254</v>
      </c>
      <c r="K41" s="33">
        <v>1.621</v>
      </c>
      <c r="L41" s="34">
        <v>7.436</v>
      </c>
      <c r="M41" s="34">
        <v>14.128</v>
      </c>
      <c r="N41" s="34" t="s">
        <v>10</v>
      </c>
      <c r="O41" s="35">
        <v>-0.743</v>
      </c>
      <c r="T41" s="26"/>
      <c r="U41" s="26"/>
      <c r="V41" s="26"/>
      <c r="W41" s="26"/>
      <c r="X41" s="26"/>
      <c r="Y41" s="26"/>
      <c r="AA41" s="70"/>
      <c r="AB41" s="70"/>
      <c r="AC41" s="27"/>
    </row>
    <row r="42">
      <c r="A42" s="33">
        <v>-3.491</v>
      </c>
      <c r="B42" s="34">
        <v>-11.223</v>
      </c>
      <c r="C42" s="34">
        <v>-19.617</v>
      </c>
      <c r="D42" s="34" t="s">
        <v>3</v>
      </c>
      <c r="E42" s="35">
        <v>-1.069</v>
      </c>
      <c r="F42" s="33">
        <v>-0.003</v>
      </c>
      <c r="G42" s="34">
        <v>-8.155</v>
      </c>
      <c r="H42" s="34">
        <v>-4.429</v>
      </c>
      <c r="I42" s="34" t="s">
        <v>2</v>
      </c>
      <c r="J42" s="35">
        <v>-1.249</v>
      </c>
      <c r="K42" s="33">
        <v>0.926</v>
      </c>
      <c r="L42" s="34">
        <v>20.192</v>
      </c>
      <c r="M42" s="34">
        <v>-1.577</v>
      </c>
      <c r="N42" s="34" t="s">
        <v>16</v>
      </c>
      <c r="O42" s="35">
        <v>-0.74</v>
      </c>
      <c r="T42" s="26"/>
      <c r="U42" s="26"/>
      <c r="V42" s="26"/>
      <c r="W42" s="26"/>
      <c r="X42" s="26"/>
      <c r="Y42" s="26"/>
      <c r="AA42" s="70"/>
      <c r="AB42" s="70"/>
      <c r="AC42" s="27"/>
    </row>
    <row r="43">
      <c r="A43" s="33">
        <v>0.722</v>
      </c>
      <c r="B43" s="34">
        <v>20.427</v>
      </c>
      <c r="C43" s="34">
        <v>-2.193</v>
      </c>
      <c r="D43" s="34" t="s">
        <v>16</v>
      </c>
      <c r="E43" s="35">
        <v>-1.067</v>
      </c>
      <c r="F43" s="33">
        <v>-0.6</v>
      </c>
      <c r="G43" s="34">
        <v>-11.239</v>
      </c>
      <c r="H43" s="34">
        <v>-6.202</v>
      </c>
      <c r="I43" s="34" t="s">
        <v>8</v>
      </c>
      <c r="J43" s="35">
        <v>-1.232</v>
      </c>
      <c r="K43" s="33">
        <v>-3.27</v>
      </c>
      <c r="L43" s="34">
        <v>1.558</v>
      </c>
      <c r="M43" s="34">
        <v>16.742</v>
      </c>
      <c r="N43" s="34" t="s">
        <v>15</v>
      </c>
      <c r="O43" s="35">
        <v>-0.737</v>
      </c>
      <c r="T43" s="26"/>
      <c r="U43" s="26"/>
      <c r="V43" s="26"/>
      <c r="W43" s="26"/>
      <c r="X43" s="26"/>
      <c r="Y43" s="26"/>
      <c r="AA43" s="70"/>
      <c r="AB43" s="70"/>
      <c r="AC43" s="27"/>
    </row>
    <row r="44">
      <c r="A44" s="38">
        <v>8.354</v>
      </c>
      <c r="B44" s="39">
        <v>-0.841</v>
      </c>
      <c r="C44" s="39">
        <v>-19.989</v>
      </c>
      <c r="D44" s="40" t="s">
        <v>2</v>
      </c>
      <c r="E44" s="41">
        <v>-1.057</v>
      </c>
      <c r="F44" s="33">
        <v>-16.472</v>
      </c>
      <c r="G44" s="34">
        <v>11.837</v>
      </c>
      <c r="H44" s="34">
        <v>5.971</v>
      </c>
      <c r="I44" s="34" t="s">
        <v>19</v>
      </c>
      <c r="J44" s="35">
        <v>-1.23</v>
      </c>
      <c r="K44" s="33">
        <v>7.481</v>
      </c>
      <c r="L44" s="34">
        <v>15.569</v>
      </c>
      <c r="M44" s="34">
        <v>-8.768</v>
      </c>
      <c r="N44" s="34" t="s">
        <v>10</v>
      </c>
      <c r="O44" s="35">
        <v>-0.703</v>
      </c>
      <c r="T44" s="26"/>
      <c r="U44" s="26"/>
      <c r="V44" s="26"/>
      <c r="W44" s="26"/>
      <c r="X44" s="26"/>
      <c r="Y44" s="26"/>
      <c r="AA44" s="70"/>
      <c r="AB44" s="70"/>
      <c r="AC44" s="27"/>
    </row>
    <row r="45">
      <c r="A45" s="38">
        <v>-16.322</v>
      </c>
      <c r="B45" s="39">
        <v>-16.051</v>
      </c>
      <c r="C45" s="39">
        <v>-0.231</v>
      </c>
      <c r="D45" s="40" t="s">
        <v>6</v>
      </c>
      <c r="E45" s="41">
        <v>-1.052</v>
      </c>
      <c r="F45" s="33">
        <v>0.786</v>
      </c>
      <c r="G45" s="34">
        <v>2.664</v>
      </c>
      <c r="H45" s="34">
        <v>4.354</v>
      </c>
      <c r="I45" s="34" t="s">
        <v>23</v>
      </c>
      <c r="J45" s="35">
        <v>-1.229</v>
      </c>
      <c r="K45" s="33">
        <v>-11.943</v>
      </c>
      <c r="L45" s="34">
        <v>9.726</v>
      </c>
      <c r="M45" s="34">
        <v>-8.929</v>
      </c>
      <c r="N45" s="34" t="s">
        <v>7</v>
      </c>
      <c r="O45" s="35">
        <v>-0.695</v>
      </c>
      <c r="T45" s="26"/>
      <c r="U45" s="26"/>
      <c r="V45" s="26"/>
      <c r="W45" s="26"/>
      <c r="X45" s="26"/>
      <c r="Y45" s="26"/>
      <c r="AA45" s="70"/>
      <c r="AB45" s="70"/>
      <c r="AC45" s="27"/>
    </row>
    <row r="46">
      <c r="A46" s="38">
        <v>-19.697</v>
      </c>
      <c r="B46" s="39">
        <v>-8.327</v>
      </c>
      <c r="C46" s="39">
        <v>1.966</v>
      </c>
      <c r="D46" s="40" t="s">
        <v>10</v>
      </c>
      <c r="E46" s="41">
        <v>-1.036</v>
      </c>
      <c r="F46" s="33">
        <v>-1.012</v>
      </c>
      <c r="G46" s="34">
        <v>-0.45</v>
      </c>
      <c r="H46" s="34">
        <v>21.393</v>
      </c>
      <c r="I46" s="34" t="s">
        <v>12</v>
      </c>
      <c r="J46" s="35">
        <v>-1.227</v>
      </c>
      <c r="K46" s="33">
        <v>-0.732</v>
      </c>
      <c r="L46" s="34">
        <v>-0.768</v>
      </c>
      <c r="M46" s="34">
        <v>20.112</v>
      </c>
      <c r="N46" s="34" t="s">
        <v>12</v>
      </c>
      <c r="O46" s="35">
        <v>-0.693</v>
      </c>
      <c r="T46" s="26"/>
      <c r="U46" s="26"/>
      <c r="V46" s="26"/>
      <c r="W46" s="26"/>
      <c r="X46" s="26"/>
      <c r="Y46" s="26"/>
      <c r="AA46" s="70"/>
      <c r="AB46" s="70"/>
      <c r="AC46" s="27"/>
    </row>
    <row r="47">
      <c r="A47" s="42">
        <v>-6.323</v>
      </c>
      <c r="B47" s="43">
        <v>-14.391</v>
      </c>
      <c r="C47" s="43">
        <v>11.485</v>
      </c>
      <c r="D47" s="44" t="s">
        <v>10</v>
      </c>
      <c r="E47" s="45">
        <v>-1.026</v>
      </c>
      <c r="F47" s="46">
        <v>1.003</v>
      </c>
      <c r="G47" s="47">
        <v>3.092</v>
      </c>
      <c r="H47" s="47">
        <v>4.404</v>
      </c>
      <c r="I47" s="47" t="s">
        <v>5</v>
      </c>
      <c r="J47" s="48">
        <v>-1.226</v>
      </c>
      <c r="K47" s="46">
        <v>8.354</v>
      </c>
      <c r="L47" s="47">
        <v>-0.841</v>
      </c>
      <c r="M47" s="47">
        <v>-19.989</v>
      </c>
      <c r="N47" s="47" t="s">
        <v>2</v>
      </c>
      <c r="O47" s="48">
        <v>-0.692</v>
      </c>
      <c r="T47" s="26"/>
      <c r="U47" s="26"/>
      <c r="V47" s="26"/>
      <c r="W47" s="26"/>
      <c r="X47" s="26"/>
      <c r="Y47" s="26"/>
      <c r="AA47" s="70"/>
      <c r="AB47" s="70"/>
      <c r="AC47" s="27"/>
    </row>
    <row r="48">
      <c r="A48" s="42">
        <v>4.202</v>
      </c>
      <c r="B48" s="43">
        <v>-18.184</v>
      </c>
      <c r="C48" s="43">
        <v>-17.41</v>
      </c>
      <c r="D48" s="44" t="s">
        <v>4</v>
      </c>
      <c r="E48" s="45">
        <v>-0.996</v>
      </c>
      <c r="F48" s="46">
        <v>-0.538</v>
      </c>
      <c r="G48" s="47">
        <v>-10.767</v>
      </c>
      <c r="H48" s="47">
        <v>-6.053</v>
      </c>
      <c r="I48" s="47" t="s">
        <v>14</v>
      </c>
      <c r="J48" s="48">
        <v>-1.216</v>
      </c>
      <c r="K48" s="46">
        <v>-1.679</v>
      </c>
      <c r="L48" s="47">
        <v>13.122</v>
      </c>
      <c r="M48" s="47">
        <v>-1.323</v>
      </c>
      <c r="N48" s="47" t="s">
        <v>12</v>
      </c>
      <c r="O48" s="48">
        <v>-0.685</v>
      </c>
      <c r="T48" s="26"/>
      <c r="U48" s="26"/>
      <c r="V48" s="26"/>
      <c r="W48" s="26"/>
      <c r="X48" s="26"/>
      <c r="Y48" s="26"/>
      <c r="AA48" s="70"/>
      <c r="AB48" s="70"/>
      <c r="AC48" s="27"/>
    </row>
    <row r="49">
      <c r="A49" s="46">
        <v>12.181</v>
      </c>
      <c r="B49" s="47">
        <v>-14.698</v>
      </c>
      <c r="C49" s="47">
        <v>-11.723</v>
      </c>
      <c r="D49" s="47" t="s">
        <v>7</v>
      </c>
      <c r="E49" s="48">
        <v>-0.972</v>
      </c>
      <c r="F49" s="46">
        <v>6.357</v>
      </c>
      <c r="G49" s="47">
        <v>-6.624</v>
      </c>
      <c r="H49" s="47">
        <v>-3.297</v>
      </c>
      <c r="I49" s="47" t="s">
        <v>2</v>
      </c>
      <c r="J49" s="48">
        <v>-1.212</v>
      </c>
      <c r="K49" s="51">
        <v>-16.116</v>
      </c>
      <c r="L49" s="52">
        <v>-3.94</v>
      </c>
      <c r="M49" s="52">
        <v>8.38</v>
      </c>
      <c r="N49" s="62" t="s">
        <v>10</v>
      </c>
      <c r="O49" s="63">
        <v>-0.676</v>
      </c>
      <c r="T49" s="26"/>
      <c r="U49" s="26"/>
      <c r="V49" s="26"/>
      <c r="W49" s="26"/>
      <c r="X49" s="26"/>
      <c r="Y49" s="26"/>
      <c r="AA49" s="70"/>
      <c r="AB49" s="70"/>
      <c r="AC49" s="27"/>
    </row>
    <row r="50">
      <c r="A50" s="46">
        <v>-1.425</v>
      </c>
      <c r="B50" s="47">
        <v>-23.945</v>
      </c>
      <c r="C50" s="47">
        <v>-0.849</v>
      </c>
      <c r="D50" s="47" t="s">
        <v>5</v>
      </c>
      <c r="E50" s="48">
        <v>-0.971</v>
      </c>
      <c r="F50" s="46">
        <v>12.658</v>
      </c>
      <c r="G50" s="47">
        <v>-13.615</v>
      </c>
      <c r="H50" s="47">
        <v>-11.944</v>
      </c>
      <c r="I50" s="47" t="s">
        <v>3</v>
      </c>
      <c r="J50" s="48">
        <v>-1.209</v>
      </c>
      <c r="K50" s="46">
        <v>-2.011</v>
      </c>
      <c r="L50" s="47">
        <v>-23.697</v>
      </c>
      <c r="M50" s="47">
        <v>-1.746</v>
      </c>
      <c r="N50" s="47" t="s">
        <v>5</v>
      </c>
      <c r="O50" s="48">
        <v>-0.671</v>
      </c>
      <c r="T50" s="26"/>
      <c r="U50" s="26"/>
      <c r="V50" s="26"/>
      <c r="W50" s="26"/>
      <c r="X50" s="26"/>
      <c r="Y50" s="26"/>
      <c r="AA50" s="70"/>
      <c r="AB50" s="70"/>
      <c r="AC50" s="27"/>
    </row>
    <row r="51">
      <c r="A51" s="46">
        <v>-4.787</v>
      </c>
      <c r="B51" s="47">
        <v>-23.157</v>
      </c>
      <c r="C51" s="47">
        <v>-6.84</v>
      </c>
      <c r="D51" s="47" t="s">
        <v>17</v>
      </c>
      <c r="E51" s="48">
        <v>-0.953</v>
      </c>
      <c r="F51" s="46">
        <v>4.657</v>
      </c>
      <c r="G51" s="47">
        <v>-19.497</v>
      </c>
      <c r="H51" s="47">
        <v>-17.515</v>
      </c>
      <c r="I51" s="47" t="s">
        <v>8</v>
      </c>
      <c r="J51" s="48">
        <v>-1.206</v>
      </c>
      <c r="K51" s="46">
        <v>-12.314</v>
      </c>
      <c r="L51" s="47">
        <v>-0.837</v>
      </c>
      <c r="M51" s="47">
        <v>8.14</v>
      </c>
      <c r="N51" s="47" t="s">
        <v>10</v>
      </c>
      <c r="O51" s="48">
        <v>-0.671</v>
      </c>
      <c r="T51" s="26"/>
      <c r="U51" s="26"/>
      <c r="V51" s="26"/>
      <c r="W51" s="26"/>
      <c r="X51" s="26"/>
      <c r="Y51" s="26"/>
      <c r="AA51" s="70"/>
      <c r="AB51" s="70"/>
      <c r="AC51" s="27"/>
    </row>
    <row r="52">
      <c r="A52" s="46">
        <v>-9.644</v>
      </c>
      <c r="B52" s="47">
        <v>8.365</v>
      </c>
      <c r="C52" s="47">
        <v>5.442</v>
      </c>
      <c r="D52" s="47" t="s">
        <v>12</v>
      </c>
      <c r="E52" s="48">
        <v>-0.936</v>
      </c>
      <c r="F52" s="46">
        <v>-0.344</v>
      </c>
      <c r="G52" s="47">
        <v>-11.477</v>
      </c>
      <c r="H52" s="47">
        <v>-6.064</v>
      </c>
      <c r="I52" s="47" t="s">
        <v>2</v>
      </c>
      <c r="J52" s="48">
        <v>-1.203</v>
      </c>
      <c r="K52" s="46">
        <v>-7.693</v>
      </c>
      <c r="L52" s="47">
        <v>-12.688</v>
      </c>
      <c r="M52" s="47">
        <v>12.941</v>
      </c>
      <c r="N52" s="47" t="s">
        <v>10</v>
      </c>
      <c r="O52" s="48">
        <v>-0.662</v>
      </c>
      <c r="T52" s="26"/>
      <c r="U52" s="26"/>
      <c r="V52" s="26"/>
      <c r="W52" s="26"/>
      <c r="X52" s="26"/>
      <c r="Y52" s="26"/>
      <c r="AA52" s="70"/>
      <c r="AB52" s="70"/>
      <c r="AC52" s="27"/>
    </row>
    <row r="53">
      <c r="A53" s="46">
        <v>-5.804</v>
      </c>
      <c r="B53" s="47">
        <v>16.583</v>
      </c>
      <c r="C53" s="47">
        <v>3.684</v>
      </c>
      <c r="D53" s="47" t="s">
        <v>17</v>
      </c>
      <c r="E53" s="48">
        <v>-0.933</v>
      </c>
      <c r="F53" s="46">
        <v>-4.31</v>
      </c>
      <c r="G53" s="47">
        <v>-7.067</v>
      </c>
      <c r="H53" s="47">
        <v>11.079</v>
      </c>
      <c r="I53" s="47" t="s">
        <v>8</v>
      </c>
      <c r="J53" s="48">
        <v>-1.2</v>
      </c>
      <c r="K53" s="46">
        <v>-5.804</v>
      </c>
      <c r="L53" s="47">
        <v>16.583</v>
      </c>
      <c r="M53" s="47">
        <v>3.684</v>
      </c>
      <c r="N53" s="47" t="s">
        <v>17</v>
      </c>
      <c r="O53" s="48">
        <v>-0.658</v>
      </c>
      <c r="T53" s="26"/>
      <c r="U53" s="26"/>
      <c r="V53" s="26"/>
      <c r="W53" s="26"/>
      <c r="X53" s="26"/>
      <c r="Y53" s="26"/>
      <c r="AA53" s="70"/>
      <c r="AB53" s="70"/>
      <c r="AC53" s="27"/>
    </row>
    <row r="54">
      <c r="A54" s="46">
        <v>-12.555</v>
      </c>
      <c r="B54" s="47">
        <v>-0.99</v>
      </c>
      <c r="C54" s="47">
        <v>7.85</v>
      </c>
      <c r="D54" s="47" t="s">
        <v>10</v>
      </c>
      <c r="E54" s="48">
        <v>-0.931</v>
      </c>
      <c r="F54" s="46">
        <v>5.56</v>
      </c>
      <c r="G54" s="47">
        <v>0.383</v>
      </c>
      <c r="H54" s="47">
        <v>2.002</v>
      </c>
      <c r="I54" s="47" t="s">
        <v>7</v>
      </c>
      <c r="J54" s="48">
        <v>-1.198</v>
      </c>
      <c r="K54" s="46">
        <v>-8.556</v>
      </c>
      <c r="L54" s="47">
        <v>-12.857</v>
      </c>
      <c r="M54" s="47">
        <v>12.679</v>
      </c>
      <c r="N54" s="47" t="s">
        <v>12</v>
      </c>
      <c r="O54" s="48">
        <v>-0.655</v>
      </c>
      <c r="T54" s="26"/>
      <c r="U54" s="26"/>
      <c r="V54" s="26"/>
      <c r="W54" s="26"/>
      <c r="X54" s="26"/>
      <c r="Y54" s="26"/>
      <c r="AA54" s="70"/>
      <c r="AB54" s="70"/>
      <c r="AC54" s="27"/>
    </row>
    <row r="55">
      <c r="A55" s="46">
        <v>-17.588</v>
      </c>
      <c r="B55" s="47">
        <v>-2.738</v>
      </c>
      <c r="C55" s="47">
        <v>8.783</v>
      </c>
      <c r="D55" s="47" t="s">
        <v>13</v>
      </c>
      <c r="E55" s="48">
        <v>-0.928</v>
      </c>
      <c r="F55" s="46">
        <v>4.961</v>
      </c>
      <c r="G55" s="47">
        <v>13.548</v>
      </c>
      <c r="H55" s="47">
        <v>2.941</v>
      </c>
      <c r="I55" s="47" t="s">
        <v>15</v>
      </c>
      <c r="J55" s="48">
        <v>-1.197</v>
      </c>
      <c r="K55" s="46">
        <v>-17.665</v>
      </c>
      <c r="L55" s="47">
        <v>-2.636</v>
      </c>
      <c r="M55" s="47">
        <v>9.011</v>
      </c>
      <c r="N55" s="47" t="s">
        <v>13</v>
      </c>
      <c r="O55" s="48">
        <v>-0.644</v>
      </c>
      <c r="T55" s="26"/>
      <c r="U55" s="26"/>
      <c r="V55" s="26"/>
      <c r="W55" s="26"/>
      <c r="X55" s="26"/>
      <c r="Y55" s="26"/>
      <c r="AA55" s="70"/>
      <c r="AB55" s="70"/>
      <c r="AC55" s="27"/>
    </row>
    <row r="56">
      <c r="A56" s="46">
        <v>-9.883</v>
      </c>
      <c r="B56" s="47">
        <v>9.026</v>
      </c>
      <c r="C56" s="47">
        <v>5.134</v>
      </c>
      <c r="D56" s="47" t="s">
        <v>16</v>
      </c>
      <c r="E56" s="48">
        <v>-0.921</v>
      </c>
      <c r="F56" s="46">
        <v>1.821</v>
      </c>
      <c r="G56" s="47">
        <v>23.428</v>
      </c>
      <c r="H56" s="47">
        <v>-6.061</v>
      </c>
      <c r="I56" s="47" t="s">
        <v>12</v>
      </c>
      <c r="J56" s="48">
        <v>-1.193</v>
      </c>
      <c r="K56" s="46">
        <v>-9.644</v>
      </c>
      <c r="L56" s="47">
        <v>8.365</v>
      </c>
      <c r="M56" s="47">
        <v>5.442</v>
      </c>
      <c r="N56" s="47" t="s">
        <v>12</v>
      </c>
      <c r="O56" s="48">
        <v>-0.64</v>
      </c>
      <c r="T56" s="26"/>
      <c r="U56" s="26"/>
      <c r="V56" s="26"/>
      <c r="W56" s="26"/>
      <c r="X56" s="26"/>
      <c r="Y56" s="26"/>
      <c r="AA56" s="70"/>
      <c r="AB56" s="70"/>
      <c r="AC56" s="27"/>
    </row>
    <row r="57">
      <c r="A57" s="46">
        <v>0.786</v>
      </c>
      <c r="B57" s="47">
        <v>2.664</v>
      </c>
      <c r="C57" s="47">
        <v>4.354</v>
      </c>
      <c r="D57" s="47" t="s">
        <v>23</v>
      </c>
      <c r="E57" s="48">
        <v>-0.918</v>
      </c>
      <c r="F57" s="46">
        <v>8.038</v>
      </c>
      <c r="G57" s="47">
        <v>-7.208</v>
      </c>
      <c r="H57" s="47">
        <v>4.387</v>
      </c>
      <c r="I57" s="47" t="s">
        <v>2</v>
      </c>
      <c r="J57" s="48">
        <v>-1.19</v>
      </c>
      <c r="K57" s="46">
        <v>0.478</v>
      </c>
      <c r="L57" s="47">
        <v>20.625</v>
      </c>
      <c r="M57" s="47">
        <v>-2.134</v>
      </c>
      <c r="N57" s="47" t="s">
        <v>6</v>
      </c>
      <c r="O57" s="48">
        <v>-0.636</v>
      </c>
      <c r="T57" s="26"/>
      <c r="U57" s="26"/>
      <c r="V57" s="26"/>
      <c r="W57" s="26"/>
      <c r="X57" s="26"/>
      <c r="Y57" s="26"/>
      <c r="AA57" s="70"/>
      <c r="AB57" s="70"/>
      <c r="AC57" s="27"/>
    </row>
    <row r="58">
      <c r="A58" s="46">
        <v>10.711</v>
      </c>
      <c r="B58" s="47">
        <v>-13.602</v>
      </c>
      <c r="C58" s="47">
        <v>-11.317</v>
      </c>
      <c r="D58" s="47" t="s">
        <v>8</v>
      </c>
      <c r="E58" s="48">
        <v>-0.914</v>
      </c>
      <c r="F58" s="46">
        <v>4.202</v>
      </c>
      <c r="G58" s="47">
        <v>-18.184</v>
      </c>
      <c r="H58" s="47">
        <v>-17.41</v>
      </c>
      <c r="I58" s="47" t="s">
        <v>4</v>
      </c>
      <c r="J58" s="48">
        <v>-1.19</v>
      </c>
      <c r="K58" s="46">
        <v>1.821</v>
      </c>
      <c r="L58" s="47">
        <v>23.428</v>
      </c>
      <c r="M58" s="47">
        <v>-6.061</v>
      </c>
      <c r="N58" s="47" t="s">
        <v>12</v>
      </c>
      <c r="O58" s="48">
        <v>-0.635</v>
      </c>
      <c r="T58" s="26"/>
      <c r="U58" s="26"/>
      <c r="V58" s="26"/>
      <c r="W58" s="26"/>
      <c r="X58" s="26"/>
      <c r="Y58" s="26"/>
      <c r="AA58" s="70"/>
      <c r="AB58" s="70"/>
      <c r="AC58" s="27"/>
    </row>
    <row r="59">
      <c r="A59" s="46">
        <v>-2.351</v>
      </c>
      <c r="B59" s="47">
        <v>-19.806</v>
      </c>
      <c r="C59" s="47">
        <v>5.874</v>
      </c>
      <c r="D59" s="47" t="s">
        <v>12</v>
      </c>
      <c r="E59" s="48">
        <v>-0.912</v>
      </c>
      <c r="F59" s="46">
        <v>3.83</v>
      </c>
      <c r="G59" s="47">
        <v>-19.662</v>
      </c>
      <c r="H59" s="47">
        <v>-4.03</v>
      </c>
      <c r="I59" s="47" t="s">
        <v>16</v>
      </c>
      <c r="J59" s="48">
        <v>-1.189</v>
      </c>
      <c r="K59" s="56">
        <v>11.528</v>
      </c>
      <c r="L59" s="57">
        <v>-15.397</v>
      </c>
      <c r="M59" s="57">
        <v>-12.076</v>
      </c>
      <c r="N59" s="57" t="s">
        <v>7</v>
      </c>
      <c r="O59" s="58">
        <v>-0.634</v>
      </c>
      <c r="T59" s="26"/>
      <c r="U59" s="26"/>
      <c r="V59" s="26"/>
      <c r="W59" s="26"/>
      <c r="X59" s="26"/>
      <c r="Y59" s="26"/>
      <c r="AA59" s="70"/>
      <c r="AB59" s="70"/>
      <c r="AC59" s="27"/>
    </row>
    <row r="60">
      <c r="A60" s="46">
        <v>12.658</v>
      </c>
      <c r="B60" s="47">
        <v>-13.615</v>
      </c>
      <c r="C60" s="47">
        <v>-11.944</v>
      </c>
      <c r="D60" s="47" t="s">
        <v>3</v>
      </c>
      <c r="E60" s="48">
        <v>-0.912</v>
      </c>
      <c r="F60" s="46">
        <v>10.711</v>
      </c>
      <c r="G60" s="47">
        <v>-13.602</v>
      </c>
      <c r="H60" s="47">
        <v>-11.317</v>
      </c>
      <c r="I60" s="47" t="s">
        <v>8</v>
      </c>
      <c r="J60" s="48">
        <v>-1.182</v>
      </c>
      <c r="K60" s="56">
        <v>1.987</v>
      </c>
      <c r="L60" s="57">
        <v>-10.399</v>
      </c>
      <c r="M60" s="57">
        <v>5.838</v>
      </c>
      <c r="N60" s="57" t="s">
        <v>11</v>
      </c>
      <c r="O60" s="58">
        <v>-0.631</v>
      </c>
      <c r="T60" s="26"/>
      <c r="U60" s="26"/>
      <c r="V60" s="26"/>
      <c r="W60" s="26"/>
      <c r="X60" s="26"/>
      <c r="Y60" s="26"/>
      <c r="AA60" s="70"/>
      <c r="AB60" s="70"/>
      <c r="AC60" s="27"/>
    </row>
    <row r="61">
      <c r="A61" s="46">
        <v>-3.27</v>
      </c>
      <c r="B61" s="47">
        <v>1.558</v>
      </c>
      <c r="C61" s="47">
        <v>16.742</v>
      </c>
      <c r="D61" s="47" t="s">
        <v>15</v>
      </c>
      <c r="E61" s="48">
        <v>-0.912</v>
      </c>
      <c r="F61" s="46">
        <v>-9.644</v>
      </c>
      <c r="G61" s="47">
        <v>8.365</v>
      </c>
      <c r="H61" s="47">
        <v>5.442</v>
      </c>
      <c r="I61" s="47" t="s">
        <v>12</v>
      </c>
      <c r="J61" s="48">
        <v>-1.18</v>
      </c>
      <c r="K61" s="56">
        <v>-6.305</v>
      </c>
      <c r="L61" s="57">
        <v>16.695</v>
      </c>
      <c r="M61" s="57">
        <v>1.839</v>
      </c>
      <c r="N61" s="57" t="s">
        <v>19</v>
      </c>
      <c r="O61" s="58">
        <v>-0.629</v>
      </c>
      <c r="T61" s="26"/>
      <c r="U61" s="26"/>
      <c r="V61" s="26"/>
      <c r="W61" s="26"/>
      <c r="X61" s="26"/>
      <c r="Y61" s="26"/>
      <c r="AA61" s="70"/>
      <c r="AB61" s="70"/>
      <c r="AC61" s="27"/>
    </row>
    <row r="62">
      <c r="A62" s="46">
        <v>-0.6</v>
      </c>
      <c r="B62" s="47">
        <v>-11.239</v>
      </c>
      <c r="C62" s="47">
        <v>-6.202</v>
      </c>
      <c r="D62" s="47" t="s">
        <v>8</v>
      </c>
      <c r="E62" s="48">
        <v>-0.912</v>
      </c>
      <c r="F62" s="46">
        <v>-16.971</v>
      </c>
      <c r="G62" s="47">
        <v>-16.106</v>
      </c>
      <c r="H62" s="47">
        <v>0.231</v>
      </c>
      <c r="I62" s="47" t="s">
        <v>7</v>
      </c>
      <c r="J62" s="48">
        <v>-1.18</v>
      </c>
      <c r="K62" s="56">
        <v>11.592</v>
      </c>
      <c r="L62" s="57">
        <v>-11.298</v>
      </c>
      <c r="M62" s="57">
        <v>7.665</v>
      </c>
      <c r="N62" s="57" t="s">
        <v>8</v>
      </c>
      <c r="O62" s="58">
        <v>-0.626</v>
      </c>
      <c r="T62" s="26"/>
      <c r="U62" s="26"/>
      <c r="V62" s="26"/>
      <c r="W62" s="26"/>
      <c r="X62" s="26"/>
      <c r="Y62" s="26"/>
      <c r="AA62" s="70"/>
      <c r="AB62" s="70"/>
      <c r="AC62" s="27"/>
    </row>
    <row r="63">
      <c r="A63" s="46">
        <v>-0.538</v>
      </c>
      <c r="B63" s="47">
        <v>-10.767</v>
      </c>
      <c r="C63" s="47">
        <v>-6.053</v>
      </c>
      <c r="D63" s="47" t="s">
        <v>14</v>
      </c>
      <c r="E63" s="48">
        <v>-0.906</v>
      </c>
      <c r="F63" s="46">
        <v>2.754</v>
      </c>
      <c r="G63" s="47">
        <v>-10.649</v>
      </c>
      <c r="H63" s="47">
        <v>-24.562</v>
      </c>
      <c r="I63" s="47" t="s">
        <v>7</v>
      </c>
      <c r="J63" s="48">
        <v>-1.176</v>
      </c>
      <c r="K63" s="46">
        <v>-0.611</v>
      </c>
      <c r="L63" s="47">
        <v>12.998</v>
      </c>
      <c r="M63" s="47">
        <v>-1.825</v>
      </c>
      <c r="N63" s="47" t="s">
        <v>15</v>
      </c>
      <c r="O63" s="48">
        <v>-0.623</v>
      </c>
      <c r="T63" s="26"/>
      <c r="U63" s="26"/>
      <c r="V63" s="26"/>
      <c r="W63" s="26"/>
      <c r="X63" s="26"/>
      <c r="Y63" s="26"/>
      <c r="AA63" s="70"/>
      <c r="AB63" s="70"/>
      <c r="AC63" s="27"/>
    </row>
    <row r="64">
      <c r="A64" s="46">
        <v>-0.003</v>
      </c>
      <c r="B64" s="47">
        <v>-8.155</v>
      </c>
      <c r="C64" s="47">
        <v>-4.429</v>
      </c>
      <c r="D64" s="47" t="s">
        <v>2</v>
      </c>
      <c r="E64" s="48">
        <v>-0.903</v>
      </c>
      <c r="F64" s="46">
        <v>6.933</v>
      </c>
      <c r="G64" s="47">
        <v>-0.216</v>
      </c>
      <c r="H64" s="47">
        <v>1.2</v>
      </c>
      <c r="I64" s="47" t="s">
        <v>14</v>
      </c>
      <c r="J64" s="48">
        <v>-1.175</v>
      </c>
      <c r="K64" s="46">
        <v>-18.463</v>
      </c>
      <c r="L64" s="47">
        <v>2.801</v>
      </c>
      <c r="M64" s="47">
        <v>-7.612</v>
      </c>
      <c r="N64" s="47" t="s">
        <v>8</v>
      </c>
      <c r="O64" s="48">
        <v>-0.621</v>
      </c>
      <c r="T64" s="26"/>
      <c r="U64" s="26"/>
      <c r="V64" s="26"/>
      <c r="W64" s="26"/>
      <c r="X64" s="26"/>
      <c r="Y64" s="26"/>
      <c r="AA64" s="70"/>
      <c r="AB64" s="70"/>
      <c r="AC64" s="27"/>
    </row>
    <row r="65">
      <c r="A65" s="46">
        <v>1.003</v>
      </c>
      <c r="B65" s="47">
        <v>3.092</v>
      </c>
      <c r="C65" s="47">
        <v>4.404</v>
      </c>
      <c r="D65" s="47" t="s">
        <v>5</v>
      </c>
      <c r="E65" s="48">
        <v>-0.9</v>
      </c>
      <c r="F65" s="46">
        <v>-6.142</v>
      </c>
      <c r="G65" s="47">
        <v>16.344</v>
      </c>
      <c r="H65" s="47">
        <v>2.874</v>
      </c>
      <c r="I65" s="47" t="s">
        <v>19</v>
      </c>
      <c r="J65" s="48">
        <v>-1.174</v>
      </c>
      <c r="K65" s="46">
        <v>10.158</v>
      </c>
      <c r="L65" s="47">
        <v>-14.624</v>
      </c>
      <c r="M65" s="47">
        <v>-22.215</v>
      </c>
      <c r="N65" s="47" t="s">
        <v>13</v>
      </c>
      <c r="O65" s="48">
        <v>-0.616</v>
      </c>
      <c r="T65" s="26"/>
      <c r="U65" s="26"/>
      <c r="V65" s="26"/>
      <c r="W65" s="26"/>
      <c r="X65" s="26"/>
      <c r="Y65" s="26"/>
      <c r="AA65" s="70"/>
      <c r="AB65" s="70"/>
      <c r="AC65" s="27"/>
    </row>
    <row r="66">
      <c r="A66" s="59">
        <v>6.329</v>
      </c>
      <c r="B66" s="60">
        <v>-6.294</v>
      </c>
      <c r="C66" s="60">
        <v>-2.938</v>
      </c>
      <c r="D66" s="60" t="s">
        <v>2</v>
      </c>
      <c r="E66" s="61">
        <v>-0.899</v>
      </c>
      <c r="F66" s="59">
        <v>0.926</v>
      </c>
      <c r="G66" s="60">
        <v>20.192</v>
      </c>
      <c r="H66" s="60">
        <v>-1.577</v>
      </c>
      <c r="I66" s="60" t="s">
        <v>16</v>
      </c>
      <c r="J66" s="61">
        <v>-1.174</v>
      </c>
      <c r="K66" s="59">
        <v>11.354</v>
      </c>
      <c r="L66" s="60">
        <v>-15.953</v>
      </c>
      <c r="M66" s="60">
        <v>4.723</v>
      </c>
      <c r="N66" s="60" t="s">
        <v>15</v>
      </c>
      <c r="O66" s="61">
        <v>-0.615</v>
      </c>
      <c r="T66" s="26"/>
      <c r="U66" s="26"/>
      <c r="V66" s="26"/>
      <c r="W66" s="26"/>
      <c r="X66" s="26"/>
      <c r="Y66" s="26"/>
      <c r="AA66" s="70"/>
      <c r="AB66" s="70"/>
      <c r="AC66" s="27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T67" s="26"/>
      <c r="U67" s="26"/>
      <c r="V67" s="26"/>
      <c r="W67" s="26"/>
      <c r="X67" s="26"/>
      <c r="Y67" s="26"/>
      <c r="AA67" s="70"/>
      <c r="AB67" s="70"/>
      <c r="AC67" s="27"/>
    </row>
    <row r="68">
      <c r="A68" s="65" t="s">
        <v>47</v>
      </c>
      <c r="B68" s="66"/>
      <c r="C68" s="67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T68" s="26"/>
      <c r="U68" s="26"/>
      <c r="V68" s="26"/>
      <c r="W68" s="26"/>
      <c r="X68" s="26"/>
      <c r="Y68" s="26"/>
      <c r="AA68" s="70"/>
      <c r="AB68" s="70"/>
      <c r="AC68" s="27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T69" s="26"/>
      <c r="U69" s="26"/>
      <c r="V69" s="26"/>
      <c r="W69" s="26"/>
      <c r="X69" s="26"/>
      <c r="Y69" s="26"/>
      <c r="AA69" s="70"/>
      <c r="AB69" s="70"/>
      <c r="AC69" s="27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T70" s="26"/>
      <c r="U70" s="26"/>
      <c r="V70" s="26"/>
      <c r="W70" s="26"/>
      <c r="X70" s="26"/>
      <c r="Y70" s="26"/>
      <c r="AA70" s="70"/>
      <c r="AB70" s="70"/>
      <c r="AC70" s="27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T71" s="26"/>
      <c r="U71" s="26"/>
      <c r="V71" s="26"/>
      <c r="W71" s="26"/>
      <c r="X71" s="26"/>
      <c r="Y71" s="26"/>
      <c r="AA71" s="70"/>
      <c r="AB71" s="70"/>
      <c r="AC71" s="27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T72" s="26"/>
      <c r="U72" s="26"/>
      <c r="V72" s="26"/>
      <c r="W72" s="26"/>
      <c r="X72" s="26"/>
      <c r="Y72" s="26"/>
      <c r="AA72" s="70"/>
      <c r="AB72" s="70"/>
      <c r="AC72" s="27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T73" s="26"/>
      <c r="U73" s="26"/>
      <c r="V73" s="26"/>
      <c r="W73" s="26"/>
      <c r="X73" s="26"/>
      <c r="Y73" s="26"/>
      <c r="AA73" s="70"/>
      <c r="AB73" s="70"/>
      <c r="AC73" s="27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T74" s="26"/>
      <c r="U74" s="26"/>
      <c r="V74" s="26"/>
      <c r="W74" s="26"/>
      <c r="X74" s="26"/>
      <c r="Y74" s="26"/>
      <c r="AA74" s="70"/>
      <c r="AB74" s="70"/>
      <c r="AC74" s="27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T75" s="26"/>
      <c r="U75" s="26"/>
      <c r="V75" s="26"/>
      <c r="W75" s="26"/>
      <c r="X75" s="26"/>
      <c r="Y75" s="26"/>
      <c r="AA75" s="70"/>
      <c r="AB75" s="70"/>
      <c r="AC75" s="27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T76" s="26"/>
      <c r="U76" s="26"/>
      <c r="V76" s="26"/>
      <c r="W76" s="26"/>
      <c r="X76" s="26"/>
      <c r="Y76" s="26"/>
      <c r="AA76" s="70"/>
      <c r="AB76" s="70"/>
      <c r="AC76" s="27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T77" s="26"/>
      <c r="U77" s="26"/>
      <c r="V77" s="26"/>
      <c r="W77" s="26"/>
      <c r="X77" s="26"/>
      <c r="Y77" s="26"/>
      <c r="AA77" s="70"/>
      <c r="AB77" s="70"/>
      <c r="AC77" s="27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T78" s="26"/>
      <c r="U78" s="26"/>
      <c r="V78" s="26"/>
      <c r="W78" s="26"/>
      <c r="X78" s="26"/>
      <c r="Y78" s="26"/>
      <c r="AA78" s="70"/>
      <c r="AB78" s="70"/>
      <c r="AC78" s="27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T79" s="26"/>
      <c r="U79" s="26"/>
      <c r="V79" s="26"/>
      <c r="W79" s="26"/>
      <c r="X79" s="26"/>
      <c r="Y79" s="26"/>
      <c r="AA79" s="70"/>
      <c r="AB79" s="70"/>
      <c r="AC79" s="27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T80" s="26"/>
      <c r="U80" s="26"/>
      <c r="V80" s="26"/>
      <c r="W80" s="26"/>
      <c r="X80" s="26"/>
      <c r="Y80" s="26"/>
      <c r="AA80" s="70"/>
      <c r="AB80" s="70"/>
      <c r="AC80" s="27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T81" s="26"/>
      <c r="U81" s="26"/>
      <c r="V81" s="26"/>
      <c r="W81" s="26"/>
      <c r="X81" s="26"/>
      <c r="Y81" s="26"/>
      <c r="AA81" s="70"/>
      <c r="AB81" s="70"/>
      <c r="AC81" s="27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T82" s="26"/>
      <c r="U82" s="26"/>
      <c r="V82" s="26"/>
      <c r="W82" s="26"/>
      <c r="X82" s="26"/>
      <c r="Y82" s="26"/>
      <c r="AA82" s="70"/>
      <c r="AB82" s="70"/>
      <c r="AC82" s="27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T83" s="26"/>
      <c r="U83" s="26"/>
      <c r="V83" s="26"/>
      <c r="W83" s="26"/>
      <c r="X83" s="26"/>
      <c r="Y83" s="26"/>
      <c r="AA83" s="70"/>
      <c r="AB83" s="70"/>
      <c r="AC83" s="27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T84" s="26"/>
      <c r="U84" s="26"/>
      <c r="V84" s="26"/>
      <c r="W84" s="26"/>
      <c r="X84" s="26"/>
      <c r="Y84" s="26"/>
      <c r="AA84" s="70"/>
      <c r="AB84" s="70"/>
      <c r="AC84" s="27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T85" s="26"/>
      <c r="U85" s="26"/>
      <c r="V85" s="26"/>
      <c r="W85" s="26"/>
      <c r="X85" s="26"/>
      <c r="Y85" s="26"/>
      <c r="AA85" s="70"/>
      <c r="AB85" s="70"/>
      <c r="AC85" s="27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T86" s="26"/>
      <c r="U86" s="26"/>
      <c r="V86" s="26"/>
      <c r="W86" s="26"/>
      <c r="X86" s="26"/>
      <c r="Y86" s="26"/>
      <c r="AA86" s="70"/>
      <c r="AB86" s="70"/>
      <c r="AC86" s="27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T87" s="26"/>
      <c r="U87" s="26"/>
      <c r="V87" s="26"/>
      <c r="W87" s="26"/>
      <c r="X87" s="26"/>
      <c r="Y87" s="26"/>
      <c r="AA87" s="70"/>
      <c r="AB87" s="70"/>
      <c r="AC87" s="27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T88" s="26"/>
      <c r="U88" s="26"/>
      <c r="V88" s="26"/>
      <c r="W88" s="26"/>
      <c r="X88" s="26"/>
      <c r="Y88" s="26"/>
      <c r="AA88" s="70"/>
      <c r="AB88" s="70"/>
      <c r="AC88" s="27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T89" s="26"/>
      <c r="U89" s="26"/>
      <c r="V89" s="26"/>
      <c r="W89" s="26"/>
      <c r="X89" s="26"/>
      <c r="Y89" s="26"/>
      <c r="AA89" s="70"/>
      <c r="AB89" s="70"/>
      <c r="AC89" s="27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T90" s="26"/>
      <c r="U90" s="26"/>
      <c r="V90" s="26"/>
      <c r="W90" s="26"/>
      <c r="X90" s="26"/>
      <c r="Y90" s="26"/>
      <c r="AA90" s="70"/>
      <c r="AB90" s="70"/>
      <c r="AC90" s="27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T91" s="26"/>
      <c r="U91" s="26"/>
      <c r="V91" s="26"/>
      <c r="W91" s="26"/>
      <c r="X91" s="26"/>
      <c r="Y91" s="26"/>
      <c r="AA91" s="70"/>
      <c r="AB91" s="70"/>
      <c r="AC91" s="27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T92" s="26"/>
      <c r="U92" s="26"/>
      <c r="V92" s="26"/>
      <c r="W92" s="26"/>
      <c r="X92" s="26"/>
      <c r="Y92" s="26"/>
      <c r="AA92" s="70"/>
      <c r="AB92" s="70"/>
      <c r="AC92" s="27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T93" s="26"/>
      <c r="U93" s="26"/>
      <c r="V93" s="26"/>
      <c r="W93" s="26"/>
      <c r="X93" s="26"/>
      <c r="Y93" s="26"/>
      <c r="AA93" s="70"/>
      <c r="AB93" s="70"/>
      <c r="AC93" s="27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T94" s="26"/>
      <c r="U94" s="26"/>
      <c r="V94" s="26"/>
      <c r="W94" s="26"/>
      <c r="X94" s="26"/>
      <c r="Y94" s="26"/>
      <c r="AA94" s="70"/>
      <c r="AB94" s="70"/>
      <c r="AC94" s="27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T95" s="26"/>
      <c r="U95" s="26"/>
      <c r="V95" s="26"/>
      <c r="W95" s="26"/>
      <c r="X95" s="26"/>
      <c r="Y95" s="26"/>
      <c r="AA95" s="70"/>
      <c r="AB95" s="70"/>
      <c r="AC95" s="27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T96" s="26"/>
      <c r="U96" s="26"/>
      <c r="V96" s="26"/>
      <c r="W96" s="26"/>
      <c r="X96" s="26"/>
      <c r="Y96" s="26"/>
      <c r="AA96" s="70"/>
      <c r="AB96" s="70"/>
      <c r="AC96" s="27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T97" s="26"/>
      <c r="U97" s="26"/>
      <c r="V97" s="26"/>
      <c r="W97" s="26"/>
      <c r="X97" s="26"/>
      <c r="Y97" s="26"/>
      <c r="AA97" s="70"/>
      <c r="AB97" s="70"/>
      <c r="AC97" s="27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T98" s="26"/>
      <c r="U98" s="26"/>
      <c r="V98" s="26"/>
      <c r="W98" s="26"/>
      <c r="X98" s="26"/>
      <c r="Y98" s="26"/>
      <c r="AA98" s="70"/>
      <c r="AB98" s="70"/>
      <c r="AC98" s="27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T99" s="26"/>
      <c r="U99" s="26"/>
      <c r="V99" s="26"/>
      <c r="W99" s="26"/>
      <c r="X99" s="26"/>
      <c r="Y99" s="26"/>
      <c r="AA99" s="70"/>
      <c r="AB99" s="70"/>
      <c r="AC99" s="27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T100" s="26"/>
      <c r="U100" s="26"/>
      <c r="V100" s="26"/>
      <c r="W100" s="26"/>
      <c r="X100" s="26"/>
      <c r="Y100" s="26"/>
      <c r="AA100" s="70"/>
      <c r="AB100" s="70"/>
      <c r="AC100" s="27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T101" s="26"/>
      <c r="U101" s="26"/>
      <c r="V101" s="26"/>
      <c r="W101" s="26"/>
      <c r="X101" s="26"/>
      <c r="Y101" s="26"/>
      <c r="AA101" s="70"/>
      <c r="AB101" s="70"/>
      <c r="AC101" s="27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T102" s="26"/>
      <c r="U102" s="26"/>
      <c r="V102" s="26"/>
      <c r="W102" s="26"/>
      <c r="X102" s="26"/>
      <c r="Y102" s="26"/>
      <c r="AA102" s="70"/>
      <c r="AB102" s="70"/>
      <c r="AC102" s="27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T103" s="26"/>
      <c r="U103" s="26"/>
      <c r="V103" s="26"/>
      <c r="W103" s="26"/>
      <c r="X103" s="26"/>
      <c r="Y103" s="26"/>
      <c r="AA103" s="70"/>
      <c r="AB103" s="70"/>
      <c r="AC103" s="27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T104" s="26"/>
      <c r="U104" s="26"/>
      <c r="V104" s="26"/>
      <c r="W104" s="26"/>
      <c r="X104" s="26"/>
      <c r="Y104" s="26"/>
      <c r="AA104" s="70"/>
      <c r="AB104" s="70"/>
      <c r="AC104" s="27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T105" s="26"/>
      <c r="U105" s="26"/>
      <c r="V105" s="26"/>
      <c r="W105" s="26"/>
      <c r="X105" s="26"/>
      <c r="Y105" s="26"/>
      <c r="AA105" s="70"/>
      <c r="AB105" s="70"/>
      <c r="AC105" s="27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T106" s="26"/>
      <c r="U106" s="26"/>
      <c r="V106" s="26"/>
      <c r="W106" s="26"/>
      <c r="X106" s="26"/>
      <c r="Y106" s="26"/>
      <c r="AA106" s="70"/>
      <c r="AB106" s="70"/>
      <c r="AC106" s="27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T107" s="26"/>
      <c r="U107" s="26"/>
      <c r="V107" s="26"/>
      <c r="W107" s="26"/>
      <c r="X107" s="26"/>
      <c r="Y107" s="26"/>
      <c r="AA107" s="70"/>
      <c r="AB107" s="70"/>
      <c r="AC107" s="27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T108" s="26"/>
      <c r="U108" s="26"/>
      <c r="V108" s="26"/>
      <c r="W108" s="26"/>
      <c r="X108" s="26"/>
      <c r="Y108" s="26"/>
      <c r="AA108" s="70"/>
      <c r="AB108" s="70"/>
      <c r="AC108" s="27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T109" s="26"/>
      <c r="U109" s="26"/>
      <c r="V109" s="26"/>
      <c r="W109" s="26"/>
      <c r="X109" s="26"/>
      <c r="Y109" s="26"/>
      <c r="AA109" s="70"/>
      <c r="AB109" s="70"/>
      <c r="AC109" s="27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T110" s="26"/>
      <c r="U110" s="26"/>
      <c r="V110" s="26"/>
      <c r="W110" s="26"/>
      <c r="X110" s="26"/>
      <c r="Y110" s="26"/>
      <c r="AA110" s="70"/>
      <c r="AB110" s="70"/>
      <c r="AC110" s="27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T111" s="26"/>
      <c r="U111" s="26"/>
      <c r="V111" s="26"/>
      <c r="W111" s="26"/>
      <c r="X111" s="26"/>
      <c r="Y111" s="26"/>
      <c r="AA111" s="70"/>
      <c r="AB111" s="70"/>
      <c r="AC111" s="27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T112" s="26"/>
      <c r="U112" s="26"/>
      <c r="V112" s="26"/>
      <c r="W112" s="26"/>
      <c r="X112" s="26"/>
      <c r="Y112" s="26"/>
      <c r="AA112" s="70"/>
      <c r="AB112" s="70"/>
      <c r="AC112" s="27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T113" s="26"/>
      <c r="U113" s="26"/>
      <c r="V113" s="26"/>
      <c r="W113" s="26"/>
      <c r="X113" s="26"/>
      <c r="Y113" s="26"/>
      <c r="AA113" s="70"/>
      <c r="AB113" s="70"/>
      <c r="AC113" s="27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T114" s="26"/>
      <c r="U114" s="26"/>
      <c r="V114" s="26"/>
      <c r="W114" s="26"/>
      <c r="X114" s="26"/>
      <c r="Y114" s="26"/>
      <c r="AA114" s="70"/>
      <c r="AB114" s="70"/>
      <c r="AC114" s="27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T115" s="26"/>
      <c r="U115" s="26"/>
      <c r="V115" s="26"/>
      <c r="W115" s="26"/>
      <c r="X115" s="26"/>
      <c r="Y115" s="26"/>
      <c r="AA115" s="70"/>
      <c r="AB115" s="70"/>
      <c r="AC115" s="27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T116" s="26"/>
      <c r="U116" s="26"/>
      <c r="V116" s="26"/>
      <c r="W116" s="26"/>
      <c r="X116" s="26"/>
      <c r="Y116" s="26"/>
      <c r="AA116" s="70"/>
      <c r="AB116" s="70"/>
      <c r="AC116" s="27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T117" s="26"/>
      <c r="U117" s="26"/>
      <c r="V117" s="26"/>
      <c r="W117" s="26"/>
      <c r="X117" s="26"/>
      <c r="Y117" s="26"/>
      <c r="AA117" s="70"/>
      <c r="AB117" s="70"/>
      <c r="AC117" s="27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T118" s="26"/>
      <c r="U118" s="26"/>
      <c r="V118" s="26"/>
      <c r="W118" s="26"/>
      <c r="X118" s="26"/>
      <c r="Y118" s="26"/>
      <c r="AA118" s="70"/>
      <c r="AB118" s="70"/>
      <c r="AC118" s="27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T119" s="26"/>
      <c r="U119" s="26"/>
      <c r="V119" s="26"/>
      <c r="W119" s="26"/>
      <c r="X119" s="26"/>
      <c r="Y119" s="26"/>
      <c r="AA119" s="70"/>
      <c r="AB119" s="70"/>
      <c r="AC119" s="27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T120" s="26"/>
      <c r="U120" s="26"/>
      <c r="V120" s="26"/>
      <c r="W120" s="26"/>
      <c r="X120" s="26"/>
      <c r="Y120" s="26"/>
      <c r="AA120" s="70"/>
      <c r="AB120" s="70"/>
      <c r="AC120" s="27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T121" s="26"/>
      <c r="U121" s="26"/>
      <c r="V121" s="26"/>
      <c r="W121" s="26"/>
      <c r="X121" s="26"/>
      <c r="Y121" s="26"/>
      <c r="AA121" s="70"/>
      <c r="AB121" s="70"/>
      <c r="AC121" s="27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T122" s="26"/>
      <c r="U122" s="26"/>
      <c r="V122" s="26"/>
      <c r="W122" s="26"/>
      <c r="X122" s="26"/>
      <c r="Y122" s="26"/>
      <c r="AA122" s="70"/>
      <c r="AB122" s="70"/>
      <c r="AC122" s="27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T123" s="26"/>
      <c r="U123" s="26"/>
      <c r="V123" s="26"/>
      <c r="W123" s="26"/>
      <c r="X123" s="26"/>
      <c r="Y123" s="26"/>
      <c r="AA123" s="70"/>
      <c r="AB123" s="70"/>
      <c r="AC123" s="27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T124" s="26"/>
      <c r="U124" s="26"/>
      <c r="V124" s="26"/>
      <c r="W124" s="26"/>
      <c r="X124" s="26"/>
      <c r="Y124" s="26"/>
      <c r="AA124" s="70"/>
      <c r="AB124" s="70"/>
      <c r="AC124" s="27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T125" s="26"/>
      <c r="U125" s="26"/>
      <c r="V125" s="26"/>
      <c r="W125" s="26"/>
      <c r="X125" s="26"/>
      <c r="Y125" s="26"/>
      <c r="AA125" s="70"/>
      <c r="AB125" s="70"/>
      <c r="AC125" s="27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T126" s="26"/>
      <c r="U126" s="26"/>
      <c r="V126" s="26"/>
      <c r="W126" s="26"/>
      <c r="X126" s="26"/>
      <c r="Y126" s="26"/>
      <c r="AA126" s="70"/>
      <c r="AB126" s="70"/>
      <c r="AC126" s="27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T127" s="26"/>
      <c r="U127" s="26"/>
      <c r="V127" s="26"/>
      <c r="W127" s="26"/>
      <c r="X127" s="26"/>
      <c r="Y127" s="26"/>
      <c r="AA127" s="70"/>
      <c r="AB127" s="70"/>
      <c r="AC127" s="27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T128" s="26"/>
      <c r="U128" s="26"/>
      <c r="V128" s="26"/>
      <c r="W128" s="26"/>
      <c r="X128" s="26"/>
      <c r="Y128" s="26"/>
      <c r="AA128" s="70"/>
      <c r="AB128" s="70"/>
      <c r="AC128" s="27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T129" s="26"/>
      <c r="U129" s="26"/>
      <c r="V129" s="26"/>
      <c r="W129" s="26"/>
      <c r="X129" s="26"/>
      <c r="Y129" s="26"/>
      <c r="AA129" s="70"/>
      <c r="AB129" s="70"/>
      <c r="AC129" s="27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T130" s="26"/>
      <c r="U130" s="26"/>
      <c r="V130" s="26"/>
      <c r="W130" s="26"/>
      <c r="X130" s="26"/>
      <c r="Y130" s="26"/>
      <c r="AA130" s="70"/>
      <c r="AB130" s="70"/>
      <c r="AC130" s="27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T131" s="26"/>
      <c r="U131" s="26"/>
      <c r="V131" s="26"/>
      <c r="W131" s="26"/>
      <c r="X131" s="26"/>
      <c r="Y131" s="26"/>
      <c r="AA131" s="70"/>
      <c r="AB131" s="70"/>
      <c r="AC131" s="27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T132" s="26"/>
      <c r="U132" s="26"/>
      <c r="V132" s="26"/>
      <c r="W132" s="26"/>
      <c r="X132" s="26"/>
      <c r="Y132" s="26"/>
      <c r="AA132" s="70"/>
      <c r="AB132" s="70"/>
      <c r="AC132" s="27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T133" s="26"/>
      <c r="U133" s="26"/>
      <c r="V133" s="26"/>
      <c r="W133" s="26"/>
      <c r="X133" s="26"/>
      <c r="Y133" s="26"/>
      <c r="AA133" s="70"/>
      <c r="AB133" s="70"/>
      <c r="AC133" s="27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T134" s="26"/>
      <c r="U134" s="26"/>
      <c r="V134" s="26"/>
      <c r="W134" s="26"/>
      <c r="X134" s="26"/>
      <c r="Y134" s="26"/>
      <c r="AA134" s="70"/>
      <c r="AB134" s="70"/>
      <c r="AC134" s="27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T135" s="26"/>
      <c r="U135" s="26"/>
      <c r="V135" s="26"/>
      <c r="W135" s="26"/>
      <c r="X135" s="26"/>
      <c r="Y135" s="26"/>
      <c r="AA135" s="70"/>
      <c r="AB135" s="70"/>
      <c r="AC135" s="27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T136" s="26"/>
      <c r="U136" s="26"/>
      <c r="V136" s="26"/>
      <c r="W136" s="26"/>
      <c r="X136" s="26"/>
      <c r="Y136" s="26"/>
      <c r="AA136" s="70"/>
      <c r="AB136" s="70"/>
      <c r="AC136" s="27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T137" s="26"/>
      <c r="U137" s="26"/>
      <c r="V137" s="26"/>
      <c r="W137" s="26"/>
      <c r="X137" s="26"/>
      <c r="Y137" s="26"/>
      <c r="AA137" s="70"/>
      <c r="AB137" s="70"/>
      <c r="AC137" s="27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T138" s="26"/>
      <c r="U138" s="26"/>
      <c r="V138" s="26"/>
      <c r="W138" s="26"/>
      <c r="X138" s="26"/>
      <c r="Y138" s="26"/>
      <c r="AA138" s="70"/>
      <c r="AB138" s="70"/>
      <c r="AC138" s="27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T139" s="26"/>
      <c r="U139" s="26"/>
      <c r="V139" s="26"/>
      <c r="W139" s="26"/>
      <c r="X139" s="26"/>
      <c r="Y139" s="26"/>
      <c r="AA139" s="70"/>
      <c r="AB139" s="70"/>
      <c r="AC139" s="27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T140" s="26"/>
      <c r="U140" s="26"/>
      <c r="V140" s="26"/>
      <c r="W140" s="26"/>
      <c r="X140" s="26"/>
      <c r="Y140" s="26"/>
      <c r="AA140" s="70"/>
      <c r="AB140" s="70"/>
      <c r="AC140" s="27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T141" s="26"/>
      <c r="U141" s="26"/>
      <c r="V141" s="26"/>
      <c r="W141" s="26"/>
      <c r="X141" s="26"/>
      <c r="Y141" s="26"/>
      <c r="AA141" s="70"/>
      <c r="AB141" s="70"/>
      <c r="AC141" s="27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T142" s="26"/>
      <c r="U142" s="26"/>
      <c r="V142" s="26"/>
      <c r="W142" s="26"/>
      <c r="X142" s="26"/>
      <c r="Y142" s="26"/>
      <c r="AA142" s="70"/>
      <c r="AB142" s="70"/>
      <c r="AC142" s="27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T143" s="26"/>
      <c r="U143" s="26"/>
      <c r="V143" s="26"/>
      <c r="W143" s="26"/>
      <c r="X143" s="26"/>
      <c r="Y143" s="26"/>
      <c r="AA143" s="70"/>
      <c r="AB143" s="70"/>
      <c r="AC143" s="27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T144" s="26"/>
      <c r="U144" s="26"/>
      <c r="V144" s="26"/>
      <c r="W144" s="26"/>
      <c r="X144" s="26"/>
      <c r="Y144" s="26"/>
      <c r="AA144" s="70"/>
      <c r="AB144" s="70"/>
      <c r="AC144" s="27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T145" s="26"/>
      <c r="U145" s="26"/>
      <c r="V145" s="26"/>
      <c r="W145" s="26"/>
      <c r="X145" s="26"/>
      <c r="Y145" s="26"/>
      <c r="AA145" s="70"/>
      <c r="AB145" s="70"/>
      <c r="AC145" s="27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T146" s="26"/>
      <c r="U146" s="26"/>
      <c r="V146" s="26"/>
      <c r="W146" s="26"/>
      <c r="X146" s="26"/>
      <c r="Y146" s="26"/>
      <c r="AA146" s="70"/>
      <c r="AB146" s="70"/>
      <c r="AC146" s="27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T147" s="26"/>
      <c r="U147" s="26"/>
      <c r="V147" s="26"/>
      <c r="W147" s="26"/>
      <c r="X147" s="26"/>
      <c r="Y147" s="26"/>
      <c r="AA147" s="70"/>
      <c r="AB147" s="70"/>
      <c r="AC147" s="27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T148" s="26"/>
      <c r="U148" s="26"/>
      <c r="V148" s="26"/>
      <c r="W148" s="26"/>
      <c r="X148" s="26"/>
      <c r="Y148" s="26"/>
      <c r="AA148" s="70"/>
      <c r="AB148" s="70"/>
      <c r="AC148" s="27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T149" s="26"/>
      <c r="U149" s="26"/>
      <c r="V149" s="26"/>
      <c r="W149" s="26"/>
      <c r="X149" s="26"/>
      <c r="Y149" s="26"/>
      <c r="AA149" s="70"/>
      <c r="AB149" s="70"/>
      <c r="AC149" s="27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T150" s="26"/>
      <c r="U150" s="26"/>
      <c r="V150" s="26"/>
      <c r="W150" s="26"/>
      <c r="X150" s="26"/>
      <c r="Y150" s="26"/>
      <c r="AA150" s="70"/>
      <c r="AB150" s="70"/>
      <c r="AC150" s="27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T151" s="26"/>
      <c r="U151" s="26"/>
      <c r="V151" s="26"/>
      <c r="W151" s="26"/>
      <c r="X151" s="26"/>
      <c r="Y151" s="26"/>
      <c r="AA151" s="70"/>
      <c r="AB151" s="70"/>
      <c r="AC151" s="27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T152" s="26"/>
      <c r="U152" s="26"/>
      <c r="V152" s="26"/>
      <c r="W152" s="26"/>
      <c r="X152" s="26"/>
      <c r="Y152" s="26"/>
      <c r="AA152" s="70"/>
      <c r="AB152" s="70"/>
      <c r="AC152" s="27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T153" s="26"/>
      <c r="U153" s="26"/>
      <c r="V153" s="26"/>
      <c r="W153" s="26"/>
      <c r="X153" s="26"/>
      <c r="Y153" s="26"/>
      <c r="AA153" s="70"/>
      <c r="AB153" s="70"/>
      <c r="AC153" s="27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T154" s="26"/>
      <c r="U154" s="26"/>
      <c r="V154" s="26"/>
      <c r="W154" s="26"/>
      <c r="X154" s="26"/>
      <c r="Y154" s="26"/>
      <c r="AA154" s="70"/>
      <c r="AB154" s="70"/>
      <c r="AC154" s="27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T155" s="26"/>
      <c r="U155" s="26"/>
      <c r="V155" s="26"/>
      <c r="W155" s="26"/>
      <c r="X155" s="26"/>
      <c r="Y155" s="26"/>
      <c r="AA155" s="70"/>
      <c r="AB155" s="70"/>
      <c r="AC155" s="27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T156" s="26"/>
      <c r="U156" s="26"/>
      <c r="V156" s="26"/>
      <c r="W156" s="26"/>
      <c r="X156" s="26"/>
      <c r="Y156" s="26"/>
      <c r="AA156" s="70"/>
      <c r="AB156" s="70"/>
      <c r="AC156" s="27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T157" s="26"/>
      <c r="U157" s="26"/>
      <c r="V157" s="26"/>
      <c r="W157" s="26"/>
      <c r="X157" s="26"/>
      <c r="Y157" s="26"/>
      <c r="AA157" s="70"/>
      <c r="AB157" s="70"/>
      <c r="AC157" s="27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T158" s="26"/>
      <c r="U158" s="26"/>
      <c r="V158" s="26"/>
      <c r="W158" s="26"/>
      <c r="X158" s="26"/>
      <c r="Y158" s="26"/>
      <c r="AA158" s="70"/>
      <c r="AB158" s="70"/>
      <c r="AC158" s="27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T159" s="26"/>
      <c r="U159" s="26"/>
      <c r="V159" s="26"/>
      <c r="W159" s="26"/>
      <c r="X159" s="26"/>
      <c r="Y159" s="26"/>
      <c r="AA159" s="70"/>
      <c r="AB159" s="70"/>
      <c r="AC159" s="27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T160" s="26"/>
      <c r="U160" s="26"/>
      <c r="V160" s="26"/>
      <c r="W160" s="26"/>
      <c r="X160" s="26"/>
      <c r="Y160" s="26"/>
      <c r="AA160" s="70"/>
      <c r="AB160" s="70"/>
      <c r="AC160" s="27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T161" s="26"/>
      <c r="U161" s="26"/>
      <c r="V161" s="26"/>
      <c r="W161" s="26"/>
      <c r="X161" s="26"/>
      <c r="Y161" s="26"/>
      <c r="AA161" s="70"/>
      <c r="AB161" s="70"/>
      <c r="AC161" s="27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T162" s="26"/>
      <c r="U162" s="26"/>
      <c r="V162" s="26"/>
      <c r="W162" s="26"/>
      <c r="X162" s="26"/>
      <c r="Y162" s="26"/>
      <c r="AA162" s="70"/>
      <c r="AB162" s="70"/>
      <c r="AC162" s="27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T163" s="26"/>
      <c r="U163" s="26"/>
      <c r="V163" s="26"/>
      <c r="W163" s="26"/>
      <c r="X163" s="26"/>
      <c r="Y163" s="26"/>
      <c r="AA163" s="70"/>
      <c r="AB163" s="70"/>
      <c r="AC163" s="27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T164" s="26"/>
      <c r="U164" s="26"/>
      <c r="V164" s="26"/>
      <c r="W164" s="26"/>
      <c r="X164" s="26"/>
      <c r="Y164" s="26"/>
      <c r="AA164" s="70"/>
      <c r="AB164" s="70"/>
      <c r="AC164" s="27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T165" s="26"/>
      <c r="U165" s="26"/>
      <c r="V165" s="26"/>
      <c r="W165" s="26"/>
      <c r="X165" s="26"/>
      <c r="Y165" s="26"/>
      <c r="AA165" s="70"/>
      <c r="AB165" s="70"/>
      <c r="AC165" s="27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T166" s="26"/>
      <c r="U166" s="26"/>
      <c r="V166" s="26"/>
      <c r="W166" s="26"/>
      <c r="X166" s="26"/>
      <c r="Y166" s="26"/>
      <c r="AA166" s="70"/>
      <c r="AB166" s="70"/>
      <c r="AC166" s="27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T167" s="26"/>
      <c r="U167" s="26"/>
      <c r="V167" s="26"/>
      <c r="W167" s="26"/>
      <c r="X167" s="26"/>
      <c r="Y167" s="26"/>
      <c r="AA167" s="70"/>
      <c r="AB167" s="70"/>
      <c r="AC167" s="27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T168" s="26"/>
      <c r="U168" s="26"/>
      <c r="V168" s="26"/>
      <c r="W168" s="26"/>
      <c r="X168" s="26"/>
      <c r="Y168" s="26"/>
      <c r="AA168" s="70"/>
      <c r="AB168" s="70"/>
      <c r="AC168" s="27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T169" s="26"/>
      <c r="U169" s="26"/>
      <c r="V169" s="26"/>
      <c r="W169" s="26"/>
      <c r="X169" s="26"/>
      <c r="Y169" s="26"/>
      <c r="AA169" s="70"/>
      <c r="AB169" s="70"/>
      <c r="AC169" s="27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T170" s="26"/>
      <c r="U170" s="26"/>
      <c r="V170" s="26"/>
      <c r="W170" s="26"/>
      <c r="X170" s="26"/>
      <c r="Y170" s="26"/>
      <c r="AA170" s="70"/>
      <c r="AB170" s="70"/>
      <c r="AC170" s="27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T171" s="26"/>
      <c r="U171" s="26"/>
      <c r="V171" s="26"/>
      <c r="W171" s="26"/>
      <c r="X171" s="26"/>
      <c r="Y171" s="26"/>
      <c r="AA171" s="70"/>
      <c r="AB171" s="70"/>
      <c r="AC171" s="27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T172" s="26"/>
      <c r="U172" s="26"/>
      <c r="V172" s="26"/>
      <c r="W172" s="26"/>
      <c r="X172" s="26"/>
      <c r="Y172" s="26"/>
      <c r="AA172" s="70"/>
      <c r="AB172" s="70"/>
      <c r="AC172" s="27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T173" s="26"/>
      <c r="U173" s="26"/>
      <c r="V173" s="26"/>
      <c r="W173" s="26"/>
      <c r="X173" s="26"/>
      <c r="Y173" s="26"/>
      <c r="AA173" s="70"/>
      <c r="AB173" s="70"/>
      <c r="AC173" s="27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T174" s="26"/>
      <c r="U174" s="26"/>
      <c r="V174" s="26"/>
      <c r="W174" s="26"/>
      <c r="X174" s="26"/>
      <c r="Y174" s="26"/>
      <c r="AA174" s="70"/>
      <c r="AB174" s="70"/>
      <c r="AC174" s="27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T175" s="26"/>
      <c r="U175" s="26"/>
      <c r="V175" s="26"/>
      <c r="W175" s="26"/>
      <c r="X175" s="26"/>
      <c r="Y175" s="26"/>
      <c r="AA175" s="70"/>
      <c r="AB175" s="70"/>
      <c r="AC175" s="27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T176" s="26"/>
      <c r="U176" s="26"/>
      <c r="V176" s="26"/>
      <c r="W176" s="26"/>
      <c r="X176" s="26"/>
      <c r="Y176" s="26"/>
      <c r="AA176" s="70"/>
      <c r="AB176" s="70"/>
      <c r="AC176" s="27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T177" s="26"/>
      <c r="U177" s="26"/>
      <c r="V177" s="26"/>
      <c r="W177" s="26"/>
      <c r="X177" s="26"/>
      <c r="Y177" s="26"/>
      <c r="AA177" s="70"/>
      <c r="AB177" s="70"/>
      <c r="AC177" s="27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T178" s="26"/>
      <c r="U178" s="26"/>
      <c r="V178" s="26"/>
      <c r="W178" s="26"/>
      <c r="X178" s="26"/>
      <c r="Y178" s="26"/>
      <c r="AA178" s="70"/>
      <c r="AB178" s="70"/>
      <c r="AC178" s="27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T179" s="26"/>
      <c r="U179" s="26"/>
      <c r="V179" s="26"/>
      <c r="W179" s="26"/>
      <c r="X179" s="26"/>
      <c r="Y179" s="26"/>
      <c r="AA179" s="70"/>
      <c r="AB179" s="70"/>
      <c r="AC179" s="27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T180" s="26"/>
      <c r="U180" s="26"/>
      <c r="V180" s="26"/>
      <c r="W180" s="26"/>
      <c r="X180" s="26"/>
      <c r="Y180" s="26"/>
      <c r="AA180" s="70"/>
      <c r="AB180" s="70"/>
      <c r="AC180" s="27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T181" s="26"/>
      <c r="U181" s="26"/>
      <c r="V181" s="26"/>
      <c r="W181" s="26"/>
      <c r="X181" s="26"/>
      <c r="Y181" s="26"/>
      <c r="AA181" s="70"/>
      <c r="AB181" s="70"/>
      <c r="AC181" s="27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T182" s="26"/>
      <c r="U182" s="26"/>
      <c r="V182" s="26"/>
      <c r="W182" s="26"/>
      <c r="X182" s="26"/>
      <c r="Y182" s="26"/>
      <c r="AA182" s="70"/>
      <c r="AB182" s="70"/>
      <c r="AC182" s="27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T183" s="26"/>
      <c r="U183" s="26"/>
      <c r="V183" s="26"/>
      <c r="W183" s="26"/>
      <c r="X183" s="26"/>
      <c r="Y183" s="26"/>
      <c r="AA183" s="70"/>
      <c r="AB183" s="70"/>
      <c r="AC183" s="27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T184" s="26"/>
      <c r="U184" s="26"/>
      <c r="V184" s="26"/>
      <c r="W184" s="26"/>
      <c r="X184" s="26"/>
      <c r="Y184" s="26"/>
      <c r="AA184" s="70"/>
      <c r="AB184" s="70"/>
      <c r="AC184" s="27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T185" s="26"/>
      <c r="U185" s="26"/>
      <c r="V185" s="26"/>
      <c r="W185" s="26"/>
      <c r="X185" s="26"/>
      <c r="Y185" s="26"/>
      <c r="AA185" s="70"/>
      <c r="AB185" s="70"/>
      <c r="AC185" s="27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T186" s="26"/>
      <c r="U186" s="26"/>
      <c r="V186" s="26"/>
      <c r="W186" s="26"/>
      <c r="X186" s="26"/>
      <c r="Y186" s="26"/>
      <c r="AA186" s="70"/>
      <c r="AB186" s="70"/>
      <c r="AC186" s="27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T187" s="26"/>
      <c r="U187" s="26"/>
      <c r="V187" s="26"/>
      <c r="W187" s="26"/>
      <c r="X187" s="26"/>
      <c r="Y187" s="26"/>
      <c r="AA187" s="70"/>
      <c r="AB187" s="70"/>
      <c r="AC187" s="27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T188" s="26"/>
      <c r="U188" s="26"/>
      <c r="V188" s="26"/>
      <c r="W188" s="26"/>
      <c r="X188" s="26"/>
      <c r="Y188" s="26"/>
      <c r="AA188" s="70"/>
      <c r="AB188" s="70"/>
      <c r="AC188" s="27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T189" s="26"/>
      <c r="U189" s="26"/>
      <c r="V189" s="26"/>
      <c r="W189" s="26"/>
      <c r="X189" s="26"/>
      <c r="Y189" s="26"/>
      <c r="AA189" s="70"/>
      <c r="AB189" s="70"/>
      <c r="AC189" s="27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T190" s="26"/>
      <c r="U190" s="26"/>
      <c r="V190" s="26"/>
      <c r="W190" s="26"/>
      <c r="X190" s="26"/>
      <c r="Y190" s="26"/>
      <c r="AA190" s="70"/>
      <c r="AB190" s="70"/>
      <c r="AC190" s="27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T191" s="26"/>
      <c r="U191" s="26"/>
      <c r="V191" s="26"/>
      <c r="W191" s="26"/>
      <c r="X191" s="26"/>
      <c r="Y191" s="26"/>
      <c r="AA191" s="70"/>
      <c r="AB191" s="70"/>
      <c r="AC191" s="27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T192" s="26"/>
      <c r="U192" s="26"/>
      <c r="V192" s="26"/>
      <c r="W192" s="26"/>
      <c r="X192" s="26"/>
      <c r="Y192" s="26"/>
      <c r="AA192" s="70"/>
      <c r="AB192" s="70"/>
      <c r="AC192" s="27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T193" s="26"/>
      <c r="U193" s="26"/>
      <c r="V193" s="26"/>
      <c r="W193" s="26"/>
      <c r="X193" s="26"/>
      <c r="Y193" s="26"/>
      <c r="AA193" s="70"/>
      <c r="AB193" s="70"/>
      <c r="AC193" s="27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T194" s="26"/>
      <c r="U194" s="26"/>
      <c r="V194" s="26"/>
      <c r="W194" s="26"/>
      <c r="X194" s="26"/>
      <c r="Y194" s="26"/>
      <c r="AA194" s="70"/>
      <c r="AB194" s="70"/>
      <c r="AC194" s="27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T195" s="26"/>
      <c r="U195" s="26"/>
      <c r="V195" s="26"/>
      <c r="W195" s="26"/>
      <c r="X195" s="26"/>
      <c r="Y195" s="26"/>
      <c r="AA195" s="70"/>
      <c r="AB195" s="70"/>
      <c r="AC195" s="27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T196" s="26"/>
      <c r="U196" s="26"/>
      <c r="V196" s="26"/>
      <c r="W196" s="26"/>
      <c r="X196" s="26"/>
      <c r="Y196" s="26"/>
      <c r="AA196" s="70"/>
      <c r="AB196" s="70"/>
      <c r="AC196" s="27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T197" s="26"/>
      <c r="U197" s="26"/>
      <c r="V197" s="26"/>
      <c r="W197" s="26"/>
      <c r="X197" s="26"/>
      <c r="Y197" s="26"/>
      <c r="AA197" s="70"/>
      <c r="AB197" s="70"/>
      <c r="AC197" s="27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T198" s="26"/>
      <c r="U198" s="26"/>
      <c r="V198" s="26"/>
      <c r="W198" s="26"/>
      <c r="X198" s="26"/>
      <c r="Y198" s="26"/>
      <c r="AA198" s="70"/>
      <c r="AB198" s="70"/>
      <c r="AC198" s="27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T199" s="26"/>
      <c r="U199" s="26"/>
      <c r="V199" s="26"/>
      <c r="W199" s="26"/>
      <c r="X199" s="26"/>
      <c r="Y199" s="26"/>
      <c r="AA199" s="70"/>
      <c r="AB199" s="70"/>
      <c r="AC199" s="27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T200" s="26"/>
      <c r="U200" s="26"/>
      <c r="V200" s="26"/>
      <c r="W200" s="26"/>
      <c r="X200" s="26"/>
      <c r="Y200" s="26"/>
      <c r="AA200" s="70"/>
      <c r="AB200" s="70"/>
      <c r="AC200" s="27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T201" s="26"/>
      <c r="U201" s="26"/>
      <c r="V201" s="26"/>
      <c r="W201" s="26"/>
      <c r="X201" s="26"/>
      <c r="Y201" s="26"/>
      <c r="AA201" s="70"/>
      <c r="AB201" s="70"/>
      <c r="AC201" s="27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T202" s="26"/>
      <c r="U202" s="26"/>
      <c r="V202" s="26"/>
      <c r="W202" s="26"/>
      <c r="X202" s="26"/>
      <c r="Y202" s="26"/>
      <c r="AA202" s="70"/>
      <c r="AB202" s="70"/>
      <c r="AC202" s="27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T203" s="26"/>
      <c r="U203" s="26"/>
      <c r="V203" s="26"/>
      <c r="W203" s="26"/>
      <c r="X203" s="26"/>
      <c r="Y203" s="26"/>
      <c r="AA203" s="70"/>
      <c r="AB203" s="70"/>
      <c r="AC203" s="27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T204" s="26"/>
      <c r="U204" s="26"/>
      <c r="V204" s="26"/>
      <c r="W204" s="26"/>
      <c r="X204" s="26"/>
      <c r="Y204" s="26"/>
      <c r="AA204" s="70"/>
      <c r="AB204" s="70"/>
      <c r="AC204" s="27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T205" s="26"/>
      <c r="U205" s="26"/>
      <c r="V205" s="26"/>
      <c r="W205" s="26"/>
      <c r="X205" s="26"/>
      <c r="Y205" s="26"/>
      <c r="AA205" s="70"/>
      <c r="AB205" s="70"/>
      <c r="AC205" s="27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T206" s="26"/>
      <c r="U206" s="26"/>
      <c r="V206" s="26"/>
      <c r="W206" s="26"/>
      <c r="X206" s="26"/>
      <c r="Y206" s="26"/>
      <c r="AA206" s="70"/>
      <c r="AB206" s="70"/>
      <c r="AC206" s="27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T207" s="26"/>
      <c r="U207" s="26"/>
      <c r="V207" s="26"/>
      <c r="W207" s="26"/>
      <c r="X207" s="26"/>
      <c r="Y207" s="26"/>
      <c r="AA207" s="70"/>
      <c r="AB207" s="70"/>
      <c r="AC207" s="27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T208" s="26"/>
      <c r="U208" s="26"/>
      <c r="V208" s="26"/>
      <c r="W208" s="26"/>
      <c r="X208" s="26"/>
      <c r="Y208" s="26"/>
      <c r="AA208" s="70"/>
      <c r="AB208" s="70"/>
      <c r="AC208" s="27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T209" s="26"/>
      <c r="U209" s="26"/>
      <c r="V209" s="26"/>
      <c r="W209" s="26"/>
      <c r="X209" s="26"/>
      <c r="Y209" s="26"/>
      <c r="AA209" s="70"/>
      <c r="AB209" s="70"/>
      <c r="AC209" s="27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T210" s="26"/>
      <c r="U210" s="26"/>
      <c r="V210" s="26"/>
      <c r="W210" s="26"/>
      <c r="X210" s="26"/>
      <c r="Y210" s="26"/>
      <c r="AA210" s="70"/>
      <c r="AB210" s="70"/>
      <c r="AC210" s="27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T211" s="26"/>
      <c r="U211" s="26"/>
      <c r="V211" s="26"/>
      <c r="W211" s="26"/>
      <c r="X211" s="26"/>
      <c r="Y211" s="26"/>
      <c r="AA211" s="70"/>
      <c r="AB211" s="70"/>
      <c r="AC211" s="27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T212" s="26"/>
      <c r="U212" s="26"/>
      <c r="V212" s="26"/>
      <c r="W212" s="26"/>
      <c r="X212" s="26"/>
      <c r="Y212" s="26"/>
      <c r="AA212" s="70"/>
      <c r="AB212" s="70"/>
      <c r="AC212" s="27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T213" s="26"/>
      <c r="U213" s="26"/>
      <c r="V213" s="26"/>
      <c r="W213" s="26"/>
      <c r="X213" s="26"/>
      <c r="Y213" s="26"/>
      <c r="AA213" s="70"/>
      <c r="AB213" s="70"/>
      <c r="AC213" s="27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T214" s="26"/>
      <c r="U214" s="26"/>
      <c r="V214" s="26"/>
      <c r="W214" s="26"/>
      <c r="X214" s="26"/>
      <c r="Y214" s="26"/>
      <c r="AA214" s="70"/>
      <c r="AB214" s="70"/>
      <c r="AC214" s="27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T215" s="26"/>
      <c r="U215" s="26"/>
      <c r="V215" s="26"/>
      <c r="W215" s="26"/>
      <c r="X215" s="26"/>
      <c r="Y215" s="26"/>
      <c r="AA215" s="70"/>
      <c r="AB215" s="70"/>
      <c r="AC215" s="27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T216" s="26"/>
      <c r="U216" s="26"/>
      <c r="V216" s="26"/>
      <c r="W216" s="26"/>
      <c r="X216" s="26"/>
      <c r="Y216" s="26"/>
      <c r="AA216" s="70"/>
      <c r="AB216" s="70"/>
      <c r="AC216" s="27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T217" s="26"/>
      <c r="U217" s="26"/>
      <c r="V217" s="26"/>
      <c r="W217" s="26"/>
      <c r="X217" s="26"/>
      <c r="Y217" s="26"/>
      <c r="AA217" s="70"/>
      <c r="AB217" s="70"/>
      <c r="AC217" s="27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T218" s="26"/>
      <c r="U218" s="26"/>
      <c r="V218" s="26"/>
      <c r="W218" s="26"/>
      <c r="X218" s="26"/>
      <c r="Y218" s="26"/>
      <c r="AA218" s="70"/>
      <c r="AB218" s="70"/>
      <c r="AC218" s="27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T219" s="26"/>
      <c r="U219" s="26"/>
      <c r="V219" s="26"/>
      <c r="W219" s="26"/>
      <c r="X219" s="26"/>
      <c r="Y219" s="26"/>
      <c r="AA219" s="70"/>
      <c r="AB219" s="70"/>
      <c r="AC219" s="27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T220" s="26"/>
      <c r="U220" s="26"/>
      <c r="V220" s="26"/>
      <c r="W220" s="26"/>
      <c r="X220" s="26"/>
      <c r="Y220" s="26"/>
      <c r="AA220" s="70"/>
      <c r="AB220" s="70"/>
      <c r="AC220" s="27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T221" s="26"/>
      <c r="U221" s="26"/>
      <c r="V221" s="26"/>
      <c r="W221" s="26"/>
      <c r="X221" s="26"/>
      <c r="Y221" s="26"/>
      <c r="AA221" s="70"/>
      <c r="AB221" s="70"/>
      <c r="AC221" s="27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T222" s="26"/>
      <c r="U222" s="26"/>
      <c r="V222" s="26"/>
      <c r="W222" s="26"/>
      <c r="X222" s="26"/>
      <c r="Y222" s="26"/>
      <c r="AA222" s="70"/>
      <c r="AB222" s="70"/>
      <c r="AC222" s="27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T223" s="26"/>
      <c r="U223" s="26"/>
      <c r="V223" s="26"/>
      <c r="W223" s="26"/>
      <c r="X223" s="26"/>
      <c r="Y223" s="26"/>
      <c r="AA223" s="70"/>
      <c r="AB223" s="70"/>
      <c r="AC223" s="27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T224" s="26"/>
      <c r="U224" s="26"/>
      <c r="V224" s="26"/>
      <c r="W224" s="26"/>
      <c r="X224" s="26"/>
      <c r="Y224" s="26"/>
      <c r="AA224" s="70"/>
      <c r="AB224" s="70"/>
      <c r="AC224" s="27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T225" s="26"/>
      <c r="U225" s="26"/>
      <c r="V225" s="26"/>
      <c r="W225" s="26"/>
      <c r="X225" s="26"/>
      <c r="Y225" s="26"/>
      <c r="AA225" s="70"/>
      <c r="AB225" s="70"/>
      <c r="AC225" s="27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T226" s="26"/>
      <c r="U226" s="26"/>
      <c r="V226" s="26"/>
      <c r="W226" s="26"/>
      <c r="X226" s="26"/>
      <c r="Y226" s="26"/>
      <c r="AA226" s="70"/>
      <c r="AB226" s="70"/>
      <c r="AC226" s="27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T227" s="26"/>
      <c r="U227" s="26"/>
      <c r="V227" s="26"/>
      <c r="W227" s="26"/>
      <c r="X227" s="26"/>
      <c r="Y227" s="26"/>
      <c r="AA227" s="70"/>
      <c r="AB227" s="70"/>
      <c r="AC227" s="27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T228" s="26"/>
      <c r="U228" s="26"/>
      <c r="V228" s="26"/>
      <c r="W228" s="26"/>
      <c r="X228" s="26"/>
      <c r="Y228" s="26"/>
      <c r="AA228" s="70"/>
      <c r="AB228" s="70"/>
      <c r="AC228" s="27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T229" s="26"/>
      <c r="U229" s="26"/>
      <c r="V229" s="26"/>
      <c r="W229" s="26"/>
      <c r="X229" s="26"/>
      <c r="Y229" s="26"/>
      <c r="AA229" s="70"/>
      <c r="AB229" s="70"/>
      <c r="AC229" s="27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T230" s="26"/>
      <c r="U230" s="26"/>
      <c r="V230" s="26"/>
      <c r="W230" s="26"/>
      <c r="X230" s="26"/>
      <c r="Y230" s="26"/>
      <c r="AA230" s="70"/>
      <c r="AB230" s="70"/>
      <c r="AC230" s="27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T231" s="26"/>
      <c r="U231" s="26"/>
      <c r="V231" s="26"/>
      <c r="W231" s="26"/>
      <c r="X231" s="26"/>
      <c r="Y231" s="26"/>
      <c r="AA231" s="70"/>
      <c r="AB231" s="70"/>
      <c r="AC231" s="27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T232" s="26"/>
      <c r="U232" s="26"/>
      <c r="V232" s="26"/>
      <c r="W232" s="26"/>
      <c r="X232" s="26"/>
      <c r="Y232" s="26"/>
      <c r="AA232" s="70"/>
      <c r="AB232" s="70"/>
      <c r="AC232" s="27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T233" s="26"/>
      <c r="U233" s="26"/>
      <c r="V233" s="26"/>
      <c r="W233" s="26"/>
      <c r="X233" s="26"/>
      <c r="Y233" s="26"/>
      <c r="AA233" s="70"/>
      <c r="AB233" s="70"/>
      <c r="AC233" s="27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T234" s="26"/>
      <c r="U234" s="26"/>
      <c r="V234" s="26"/>
      <c r="W234" s="26"/>
      <c r="X234" s="26"/>
      <c r="Y234" s="26"/>
      <c r="AA234" s="70"/>
      <c r="AB234" s="70"/>
      <c r="AC234" s="27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T235" s="26"/>
      <c r="U235" s="26"/>
      <c r="V235" s="26"/>
      <c r="W235" s="26"/>
      <c r="X235" s="26"/>
      <c r="Y235" s="26"/>
      <c r="AA235" s="70"/>
      <c r="AB235" s="70"/>
      <c r="AC235" s="27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T236" s="26"/>
      <c r="U236" s="26"/>
      <c r="V236" s="26"/>
      <c r="W236" s="26"/>
      <c r="X236" s="26"/>
      <c r="Y236" s="26"/>
      <c r="AA236" s="70"/>
      <c r="AB236" s="70"/>
      <c r="AC236" s="27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T237" s="26"/>
      <c r="U237" s="26"/>
      <c r="V237" s="26"/>
      <c r="W237" s="26"/>
      <c r="X237" s="26"/>
      <c r="Y237" s="26"/>
      <c r="AA237" s="70"/>
      <c r="AB237" s="70"/>
      <c r="AC237" s="27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T238" s="26"/>
      <c r="U238" s="26"/>
      <c r="V238" s="26"/>
      <c r="W238" s="26"/>
      <c r="X238" s="26"/>
      <c r="Y238" s="26"/>
      <c r="AA238" s="70"/>
      <c r="AB238" s="70"/>
      <c r="AC238" s="27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T239" s="26"/>
      <c r="U239" s="26"/>
      <c r="V239" s="26"/>
      <c r="W239" s="26"/>
      <c r="X239" s="26"/>
      <c r="Y239" s="26"/>
      <c r="AA239" s="70"/>
      <c r="AB239" s="70"/>
      <c r="AC239" s="27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T240" s="26"/>
      <c r="U240" s="26"/>
      <c r="V240" s="26"/>
      <c r="W240" s="26"/>
      <c r="X240" s="26"/>
      <c r="Y240" s="26"/>
      <c r="AA240" s="70"/>
      <c r="AB240" s="70"/>
      <c r="AC240" s="27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T241" s="26"/>
      <c r="U241" s="26"/>
      <c r="V241" s="26"/>
      <c r="W241" s="26"/>
      <c r="X241" s="26"/>
      <c r="Y241" s="26"/>
      <c r="AA241" s="70"/>
      <c r="AB241" s="70"/>
      <c r="AC241" s="27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T242" s="26"/>
      <c r="U242" s="26"/>
      <c r="V242" s="26"/>
      <c r="W242" s="26"/>
      <c r="X242" s="26"/>
      <c r="Y242" s="26"/>
      <c r="AA242" s="70"/>
      <c r="AB242" s="70"/>
      <c r="AC242" s="27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T243" s="26"/>
      <c r="U243" s="26"/>
      <c r="V243" s="26"/>
      <c r="W243" s="26"/>
      <c r="X243" s="26"/>
      <c r="Y243" s="26"/>
      <c r="AA243" s="70"/>
      <c r="AB243" s="70"/>
      <c r="AC243" s="27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T244" s="26"/>
      <c r="U244" s="26"/>
      <c r="V244" s="26"/>
      <c r="W244" s="26"/>
      <c r="X244" s="26"/>
      <c r="Y244" s="26"/>
      <c r="AA244" s="70"/>
      <c r="AB244" s="70"/>
      <c r="AC244" s="27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T245" s="26"/>
      <c r="U245" s="26"/>
      <c r="V245" s="26"/>
      <c r="W245" s="26"/>
      <c r="X245" s="26"/>
      <c r="Y245" s="26"/>
      <c r="AA245" s="70"/>
      <c r="AB245" s="70"/>
      <c r="AC245" s="27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T246" s="26"/>
      <c r="U246" s="26"/>
      <c r="V246" s="26"/>
      <c r="W246" s="26"/>
      <c r="X246" s="26"/>
      <c r="Y246" s="26"/>
      <c r="AA246" s="70"/>
      <c r="AB246" s="70"/>
      <c r="AC246" s="27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T247" s="26"/>
      <c r="U247" s="26"/>
      <c r="V247" s="26"/>
      <c r="W247" s="26"/>
      <c r="X247" s="26"/>
      <c r="Y247" s="26"/>
      <c r="AA247" s="70"/>
      <c r="AB247" s="70"/>
      <c r="AC247" s="27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T248" s="26"/>
      <c r="U248" s="26"/>
      <c r="V248" s="26"/>
      <c r="W248" s="26"/>
      <c r="X248" s="26"/>
      <c r="Y248" s="26"/>
      <c r="AA248" s="70"/>
      <c r="AB248" s="70"/>
      <c r="AC248" s="27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T249" s="26"/>
      <c r="U249" s="26"/>
      <c r="V249" s="26"/>
      <c r="W249" s="26"/>
      <c r="X249" s="26"/>
      <c r="Y249" s="26"/>
      <c r="AA249" s="70"/>
      <c r="AB249" s="70"/>
      <c r="AC249" s="27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T250" s="26"/>
      <c r="U250" s="26"/>
      <c r="V250" s="26"/>
      <c r="W250" s="26"/>
      <c r="X250" s="26"/>
      <c r="Y250" s="26"/>
      <c r="AA250" s="70"/>
      <c r="AB250" s="70"/>
      <c r="AC250" s="27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T251" s="26"/>
      <c r="U251" s="26"/>
      <c r="V251" s="26"/>
      <c r="W251" s="26"/>
      <c r="X251" s="26"/>
      <c r="Y251" s="26"/>
      <c r="AA251" s="70"/>
      <c r="AB251" s="70"/>
      <c r="AC251" s="27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T252" s="26"/>
      <c r="U252" s="26"/>
      <c r="V252" s="26"/>
      <c r="W252" s="26"/>
      <c r="X252" s="26"/>
      <c r="Y252" s="26"/>
      <c r="AA252" s="70"/>
      <c r="AB252" s="70"/>
      <c r="AC252" s="27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T253" s="26"/>
      <c r="U253" s="26"/>
      <c r="V253" s="26"/>
      <c r="W253" s="26"/>
      <c r="X253" s="26"/>
      <c r="Y253" s="26"/>
      <c r="AA253" s="70"/>
      <c r="AB253" s="70"/>
      <c r="AC253" s="27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T254" s="26"/>
      <c r="U254" s="26"/>
      <c r="V254" s="26"/>
      <c r="W254" s="26"/>
      <c r="X254" s="26"/>
      <c r="Y254" s="26"/>
      <c r="AA254" s="70"/>
      <c r="AB254" s="70"/>
      <c r="AC254" s="27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T255" s="26"/>
      <c r="U255" s="26"/>
      <c r="V255" s="26"/>
      <c r="W255" s="26"/>
      <c r="X255" s="26"/>
      <c r="Y255" s="26"/>
      <c r="AA255" s="70"/>
      <c r="AB255" s="70"/>
      <c r="AC255" s="27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T256" s="26"/>
      <c r="U256" s="26"/>
      <c r="V256" s="26"/>
      <c r="W256" s="26"/>
      <c r="X256" s="26"/>
      <c r="Y256" s="26"/>
      <c r="AA256" s="70"/>
      <c r="AB256" s="70"/>
      <c r="AC256" s="27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T257" s="26"/>
      <c r="U257" s="26"/>
      <c r="V257" s="26"/>
      <c r="W257" s="26"/>
      <c r="X257" s="26"/>
      <c r="Y257" s="26"/>
      <c r="AA257" s="70"/>
      <c r="AB257" s="70"/>
      <c r="AC257" s="27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T258" s="26"/>
      <c r="U258" s="26"/>
      <c r="V258" s="26"/>
      <c r="W258" s="26"/>
      <c r="X258" s="26"/>
      <c r="Y258" s="26"/>
      <c r="AA258" s="70"/>
      <c r="AB258" s="70"/>
      <c r="AC258" s="27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T259" s="26"/>
      <c r="U259" s="26"/>
      <c r="V259" s="26"/>
      <c r="W259" s="26"/>
      <c r="X259" s="26"/>
      <c r="Y259" s="26"/>
      <c r="AA259" s="70"/>
      <c r="AB259" s="70"/>
      <c r="AC259" s="27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T260" s="26"/>
      <c r="U260" s="26"/>
      <c r="V260" s="26"/>
      <c r="W260" s="26"/>
      <c r="X260" s="26"/>
      <c r="Y260" s="26"/>
      <c r="AA260" s="70"/>
      <c r="AB260" s="70"/>
      <c r="AC260" s="27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T261" s="26"/>
      <c r="U261" s="26"/>
      <c r="V261" s="26"/>
      <c r="W261" s="26"/>
      <c r="X261" s="26"/>
      <c r="Y261" s="26"/>
      <c r="AA261" s="70"/>
      <c r="AB261" s="70"/>
      <c r="AC261" s="27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T262" s="26"/>
      <c r="U262" s="26"/>
      <c r="V262" s="26"/>
      <c r="W262" s="26"/>
      <c r="X262" s="26"/>
      <c r="Y262" s="26"/>
      <c r="AA262" s="70"/>
      <c r="AB262" s="70"/>
      <c r="AC262" s="27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T263" s="26"/>
      <c r="U263" s="26"/>
      <c r="V263" s="26"/>
      <c r="W263" s="26"/>
      <c r="X263" s="26"/>
      <c r="Y263" s="26"/>
      <c r="AA263" s="70"/>
      <c r="AB263" s="70"/>
      <c r="AC263" s="27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T264" s="26"/>
      <c r="U264" s="26"/>
      <c r="V264" s="26"/>
      <c r="W264" s="26"/>
      <c r="X264" s="26"/>
      <c r="Y264" s="26"/>
      <c r="AA264" s="70"/>
      <c r="AB264" s="70"/>
      <c r="AC264" s="27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T265" s="26"/>
      <c r="U265" s="26"/>
      <c r="V265" s="26"/>
      <c r="W265" s="26"/>
      <c r="X265" s="26"/>
      <c r="Y265" s="26"/>
      <c r="AA265" s="70"/>
      <c r="AB265" s="70"/>
      <c r="AC265" s="27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T266" s="26"/>
      <c r="U266" s="26"/>
      <c r="V266" s="26"/>
      <c r="W266" s="26"/>
      <c r="X266" s="26"/>
      <c r="Y266" s="26"/>
      <c r="AA266" s="70"/>
      <c r="AB266" s="70"/>
      <c r="AC266" s="27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T267" s="26"/>
      <c r="U267" s="26"/>
      <c r="V267" s="26"/>
      <c r="W267" s="26"/>
      <c r="X267" s="26"/>
      <c r="Y267" s="26"/>
      <c r="AA267" s="70"/>
      <c r="AB267" s="70"/>
      <c r="AC267" s="27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T268" s="26"/>
      <c r="U268" s="26"/>
      <c r="V268" s="26"/>
      <c r="W268" s="26"/>
      <c r="X268" s="26"/>
      <c r="Y268" s="26"/>
      <c r="AA268" s="70"/>
      <c r="AB268" s="70"/>
      <c r="AC268" s="27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T269" s="26"/>
      <c r="U269" s="26"/>
      <c r="V269" s="26"/>
      <c r="W269" s="26"/>
      <c r="X269" s="26"/>
      <c r="Y269" s="26"/>
      <c r="AA269" s="70"/>
      <c r="AB269" s="70"/>
      <c r="AC269" s="27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T270" s="26"/>
      <c r="U270" s="26"/>
      <c r="V270" s="26"/>
      <c r="W270" s="26"/>
      <c r="X270" s="26"/>
      <c r="Y270" s="26"/>
      <c r="AA270" s="70"/>
      <c r="AB270" s="70"/>
      <c r="AC270" s="27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T271" s="26"/>
      <c r="U271" s="26"/>
      <c r="V271" s="26"/>
      <c r="W271" s="26"/>
      <c r="X271" s="26"/>
      <c r="Y271" s="26"/>
      <c r="AA271" s="70"/>
      <c r="AB271" s="70"/>
      <c r="AC271" s="27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T272" s="26"/>
      <c r="U272" s="26"/>
      <c r="V272" s="26"/>
      <c r="W272" s="26"/>
      <c r="X272" s="26"/>
      <c r="Y272" s="26"/>
      <c r="AA272" s="70"/>
      <c r="AB272" s="70"/>
      <c r="AC272" s="27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T273" s="26"/>
      <c r="U273" s="26"/>
      <c r="V273" s="26"/>
      <c r="W273" s="26"/>
      <c r="X273" s="26"/>
      <c r="Y273" s="26"/>
      <c r="AA273" s="70"/>
      <c r="AB273" s="70"/>
      <c r="AC273" s="27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T274" s="26"/>
      <c r="U274" s="26"/>
      <c r="V274" s="26"/>
      <c r="W274" s="26"/>
      <c r="X274" s="26"/>
      <c r="Y274" s="26"/>
      <c r="AA274" s="70"/>
      <c r="AB274" s="70"/>
      <c r="AC274" s="27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T275" s="26"/>
      <c r="U275" s="26"/>
      <c r="V275" s="26"/>
      <c r="W275" s="26"/>
      <c r="X275" s="26"/>
      <c r="Y275" s="26"/>
      <c r="AA275" s="70"/>
      <c r="AB275" s="70"/>
      <c r="AC275" s="27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T276" s="26"/>
      <c r="U276" s="26"/>
      <c r="V276" s="26"/>
      <c r="W276" s="26"/>
      <c r="X276" s="26"/>
      <c r="Y276" s="26"/>
      <c r="AA276" s="70"/>
      <c r="AB276" s="70"/>
      <c r="AC276" s="27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T277" s="26"/>
      <c r="U277" s="26"/>
      <c r="V277" s="26"/>
      <c r="W277" s="26"/>
      <c r="X277" s="26"/>
      <c r="Y277" s="26"/>
      <c r="AA277" s="70"/>
      <c r="AB277" s="70"/>
      <c r="AC277" s="27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T278" s="26"/>
      <c r="U278" s="26"/>
      <c r="V278" s="26"/>
      <c r="W278" s="26"/>
      <c r="X278" s="26"/>
      <c r="Y278" s="26"/>
      <c r="AA278" s="70"/>
      <c r="AB278" s="70"/>
      <c r="AC278" s="27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T279" s="26"/>
      <c r="U279" s="26"/>
      <c r="V279" s="26"/>
      <c r="W279" s="26"/>
      <c r="X279" s="26"/>
      <c r="Y279" s="26"/>
      <c r="AA279" s="70"/>
      <c r="AB279" s="70"/>
      <c r="AC279" s="27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T280" s="26"/>
      <c r="U280" s="26"/>
      <c r="V280" s="26"/>
      <c r="W280" s="26"/>
      <c r="X280" s="26"/>
      <c r="Y280" s="26"/>
      <c r="AA280" s="70"/>
      <c r="AB280" s="70"/>
      <c r="AC280" s="27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8.75"/>
    <col customWidth="1" min="18" max="18" width="19.88"/>
    <col customWidth="1" min="19" max="19" width="21.88"/>
    <col customWidth="1" min="20" max="20" width="22.63"/>
    <col customWidth="1" min="21" max="21" width="19.0"/>
    <col customWidth="1" min="22" max="22" width="21.75"/>
    <col customWidth="1" min="25" max="25" width="14.5"/>
  </cols>
  <sheetData>
    <row r="1">
      <c r="A1" s="4" t="s">
        <v>27</v>
      </c>
      <c r="Q1" s="5" t="s">
        <v>28</v>
      </c>
      <c r="R1" s="6"/>
      <c r="S1" s="6"/>
      <c r="T1" s="7" t="s">
        <v>29</v>
      </c>
      <c r="U1" s="6"/>
      <c r="V1" s="6"/>
      <c r="W1" s="8"/>
      <c r="X1" s="9"/>
      <c r="Z1" s="10"/>
      <c r="AB1" s="11"/>
    </row>
    <row r="2">
      <c r="A2" s="2" t="s">
        <v>30</v>
      </c>
      <c r="Q2" s="6"/>
      <c r="R2" s="6"/>
      <c r="S2" s="6"/>
      <c r="T2" s="6"/>
      <c r="U2" s="6"/>
      <c r="V2" s="6"/>
    </row>
    <row r="3">
      <c r="A3" s="12" t="s">
        <v>31</v>
      </c>
      <c r="B3" s="12"/>
      <c r="C3" s="12"/>
      <c r="D3" s="13"/>
      <c r="E3" s="13"/>
      <c r="F3" s="14" t="s">
        <v>32</v>
      </c>
      <c r="G3" s="14"/>
      <c r="H3" s="14"/>
      <c r="I3" s="13"/>
      <c r="J3" s="13"/>
      <c r="K3" s="14" t="s">
        <v>33</v>
      </c>
      <c r="L3" s="14"/>
      <c r="M3" s="14"/>
      <c r="N3" s="13"/>
      <c r="O3" s="13"/>
      <c r="Q3" s="15" t="s">
        <v>31</v>
      </c>
      <c r="R3" s="16" t="s">
        <v>32</v>
      </c>
      <c r="S3" s="16" t="s">
        <v>33</v>
      </c>
      <c r="T3" s="16" t="s">
        <v>34</v>
      </c>
      <c r="U3" s="16" t="s">
        <v>35</v>
      </c>
      <c r="V3" s="17" t="s">
        <v>36</v>
      </c>
      <c r="W3" s="18"/>
      <c r="X3" s="19"/>
      <c r="Y3" s="19"/>
    </row>
    <row r="4">
      <c r="A4" s="20" t="s">
        <v>37</v>
      </c>
      <c r="B4" s="21" t="s">
        <v>38</v>
      </c>
      <c r="C4" s="21" t="s">
        <v>39</v>
      </c>
      <c r="D4" s="21" t="s">
        <v>40</v>
      </c>
      <c r="E4" s="22" t="s">
        <v>41</v>
      </c>
      <c r="F4" s="20" t="s">
        <v>37</v>
      </c>
      <c r="G4" s="21" t="s">
        <v>38</v>
      </c>
      <c r="H4" s="21" t="s">
        <v>39</v>
      </c>
      <c r="I4" s="21" t="s">
        <v>40</v>
      </c>
      <c r="J4" s="22" t="s">
        <v>41</v>
      </c>
      <c r="K4" s="20" t="s">
        <v>37</v>
      </c>
      <c r="L4" s="21" t="s">
        <v>38</v>
      </c>
      <c r="M4" s="21" t="s">
        <v>39</v>
      </c>
      <c r="N4" s="21" t="s">
        <v>40</v>
      </c>
      <c r="O4" s="22" t="s">
        <v>41</v>
      </c>
      <c r="Q4" s="23"/>
      <c r="R4" s="24" t="s">
        <v>55</v>
      </c>
      <c r="S4" s="24" t="s">
        <v>56</v>
      </c>
      <c r="T4" s="24" t="s">
        <v>57</v>
      </c>
      <c r="U4" s="24" t="s">
        <v>58</v>
      </c>
      <c r="V4" s="25"/>
      <c r="W4" s="26"/>
      <c r="X4" s="26"/>
      <c r="Y4" s="26"/>
      <c r="AA4" s="70"/>
      <c r="AB4" s="70"/>
      <c r="AC4" s="27"/>
    </row>
    <row r="5">
      <c r="A5" s="28">
        <v>-9.437</v>
      </c>
      <c r="B5" s="29">
        <v>-25.36</v>
      </c>
      <c r="C5" s="29">
        <v>1.058</v>
      </c>
      <c r="D5" s="29" t="s">
        <v>15</v>
      </c>
      <c r="E5" s="30">
        <v>-0.212</v>
      </c>
      <c r="F5" s="28">
        <v>14.218</v>
      </c>
      <c r="G5" s="29">
        <v>-13.535</v>
      </c>
      <c r="H5" s="29">
        <v>-2.197</v>
      </c>
      <c r="I5" s="29" t="s">
        <v>15</v>
      </c>
      <c r="J5" s="30">
        <v>-1.181</v>
      </c>
      <c r="K5" s="28">
        <v>-2.216</v>
      </c>
      <c r="L5" s="29">
        <v>8.089</v>
      </c>
      <c r="M5" s="29">
        <v>-14.616</v>
      </c>
      <c r="N5" s="29" t="s">
        <v>10</v>
      </c>
      <c r="O5" s="30">
        <v>-1.503</v>
      </c>
      <c r="Q5" s="31"/>
      <c r="R5" s="32" t="s">
        <v>59</v>
      </c>
      <c r="S5" s="31"/>
      <c r="T5" s="25"/>
      <c r="U5" s="25"/>
      <c r="V5" s="25"/>
      <c r="W5" s="26"/>
      <c r="X5" s="26"/>
      <c r="Y5" s="26"/>
      <c r="AA5" s="70"/>
      <c r="AE5" s="27"/>
    </row>
    <row r="6">
      <c r="A6" s="33">
        <v>4.275</v>
      </c>
      <c r="B6" s="34">
        <v>-7.532</v>
      </c>
      <c r="C6" s="34">
        <v>9.691</v>
      </c>
      <c r="D6" s="34" t="s">
        <v>17</v>
      </c>
      <c r="E6" s="35">
        <v>-0.206</v>
      </c>
      <c r="F6" s="33">
        <v>2.714</v>
      </c>
      <c r="G6" s="34">
        <v>-0.664</v>
      </c>
      <c r="H6" s="34">
        <v>5.818</v>
      </c>
      <c r="I6" s="34" t="s">
        <v>19</v>
      </c>
      <c r="J6" s="35">
        <v>-1.144</v>
      </c>
      <c r="K6" s="33">
        <v>1.634</v>
      </c>
      <c r="L6" s="34">
        <v>7.073</v>
      </c>
      <c r="M6" s="34">
        <v>-14.838</v>
      </c>
      <c r="N6" s="34" t="s">
        <v>18</v>
      </c>
      <c r="O6" s="35">
        <v>-1.502</v>
      </c>
      <c r="Q6" s="36"/>
      <c r="R6" s="36"/>
      <c r="S6" s="36"/>
      <c r="T6" s="37"/>
      <c r="U6" s="37"/>
      <c r="V6" s="37"/>
      <c r="W6" s="26"/>
      <c r="X6" s="26"/>
      <c r="Y6" s="26"/>
      <c r="AA6" s="70"/>
      <c r="AB6" s="70"/>
      <c r="AC6" s="27"/>
    </row>
    <row r="7">
      <c r="A7" s="33">
        <v>-0.489</v>
      </c>
      <c r="B7" s="34">
        <v>-4.109</v>
      </c>
      <c r="C7" s="34">
        <v>10.59</v>
      </c>
      <c r="D7" s="34" t="s">
        <v>9</v>
      </c>
      <c r="E7" s="35">
        <v>-0.206</v>
      </c>
      <c r="F7" s="33">
        <v>-3.357</v>
      </c>
      <c r="G7" s="34">
        <v>4.853</v>
      </c>
      <c r="H7" s="34">
        <v>-0.824</v>
      </c>
      <c r="I7" s="34" t="s">
        <v>16</v>
      </c>
      <c r="J7" s="35">
        <v>-1.074</v>
      </c>
      <c r="K7" s="33">
        <v>1.977</v>
      </c>
      <c r="L7" s="34">
        <v>-0.26</v>
      </c>
      <c r="M7" s="34">
        <v>-0.143</v>
      </c>
      <c r="N7" s="34" t="s">
        <v>4</v>
      </c>
      <c r="O7" s="35">
        <v>-1.403</v>
      </c>
      <c r="T7" s="26"/>
      <c r="U7" s="26"/>
      <c r="V7" s="26"/>
      <c r="W7" s="26"/>
      <c r="X7" s="26"/>
      <c r="Y7" s="26"/>
      <c r="AA7" s="70"/>
      <c r="AB7" s="70"/>
      <c r="AC7" s="27"/>
    </row>
    <row r="8">
      <c r="A8" s="33">
        <v>19.382</v>
      </c>
      <c r="B8" s="34">
        <v>-11.741</v>
      </c>
      <c r="C8" s="34">
        <v>-1.36</v>
      </c>
      <c r="D8" s="34" t="s">
        <v>6</v>
      </c>
      <c r="E8" s="35">
        <v>-0.204</v>
      </c>
      <c r="F8" s="33">
        <v>14.64</v>
      </c>
      <c r="G8" s="34">
        <v>-12.134</v>
      </c>
      <c r="H8" s="34">
        <v>-0.616</v>
      </c>
      <c r="I8" s="34" t="s">
        <v>10</v>
      </c>
      <c r="J8" s="35">
        <v>-1.066</v>
      </c>
      <c r="K8" s="33">
        <v>2.431</v>
      </c>
      <c r="L8" s="34">
        <v>22.154</v>
      </c>
      <c r="M8" s="34">
        <v>8.603</v>
      </c>
      <c r="N8" s="34" t="s">
        <v>12</v>
      </c>
      <c r="O8" s="35">
        <v>-1.374</v>
      </c>
      <c r="Q8" s="2" t="s">
        <v>60</v>
      </c>
      <c r="T8" s="26"/>
      <c r="U8" s="26"/>
      <c r="V8" s="26"/>
      <c r="W8" s="26"/>
      <c r="X8" s="26"/>
      <c r="Y8" s="26"/>
      <c r="AA8" s="70"/>
      <c r="AB8" s="70"/>
      <c r="AC8" s="27"/>
    </row>
    <row r="9">
      <c r="A9" s="33">
        <v>-0.495</v>
      </c>
      <c r="B9" s="34">
        <v>-5.063</v>
      </c>
      <c r="C9" s="34">
        <v>11.303</v>
      </c>
      <c r="D9" s="34" t="s">
        <v>12</v>
      </c>
      <c r="E9" s="35">
        <v>-0.197</v>
      </c>
      <c r="F9" s="33">
        <v>-10.765</v>
      </c>
      <c r="G9" s="34">
        <v>-12.562</v>
      </c>
      <c r="H9" s="34">
        <v>-10.831</v>
      </c>
      <c r="I9" s="34" t="s">
        <v>5</v>
      </c>
      <c r="J9" s="35">
        <v>-1.055</v>
      </c>
      <c r="K9" s="33">
        <v>-27.23</v>
      </c>
      <c r="L9" s="34">
        <v>7.234</v>
      </c>
      <c r="M9" s="34">
        <v>-1.081</v>
      </c>
      <c r="N9" s="34" t="s">
        <v>4</v>
      </c>
      <c r="O9" s="35">
        <v>-1.308</v>
      </c>
      <c r="T9" s="26"/>
      <c r="U9" s="26"/>
      <c r="V9" s="26"/>
      <c r="W9" s="26"/>
      <c r="X9" s="26"/>
      <c r="Y9" s="26"/>
      <c r="AA9" s="70"/>
      <c r="AB9" s="70"/>
      <c r="AC9" s="27"/>
    </row>
    <row r="10">
      <c r="A10" s="33">
        <v>-0.728</v>
      </c>
      <c r="B10" s="34">
        <v>-5.157</v>
      </c>
      <c r="C10" s="34">
        <v>10.579</v>
      </c>
      <c r="D10" s="34" t="s">
        <v>10</v>
      </c>
      <c r="E10" s="35">
        <v>-0.194</v>
      </c>
      <c r="F10" s="33">
        <v>-6.971</v>
      </c>
      <c r="G10" s="34">
        <v>-8.89</v>
      </c>
      <c r="H10" s="34">
        <v>-0.966</v>
      </c>
      <c r="I10" s="34" t="s">
        <v>8</v>
      </c>
      <c r="J10" s="35">
        <v>-1.054</v>
      </c>
      <c r="K10" s="33">
        <v>0.891</v>
      </c>
      <c r="L10" s="34">
        <v>19.692</v>
      </c>
      <c r="M10" s="34">
        <v>-13.445</v>
      </c>
      <c r="N10" s="34" t="s">
        <v>4</v>
      </c>
      <c r="O10" s="35">
        <v>-1.258</v>
      </c>
      <c r="T10" s="26"/>
      <c r="U10" s="26"/>
      <c r="V10" s="26"/>
      <c r="W10" s="26"/>
      <c r="X10" s="26"/>
      <c r="Y10" s="26"/>
      <c r="AA10" s="70"/>
      <c r="AB10" s="70"/>
      <c r="AC10" s="27"/>
    </row>
    <row r="11">
      <c r="A11" s="33">
        <v>2.337</v>
      </c>
      <c r="B11" s="34">
        <v>-7.862</v>
      </c>
      <c r="C11" s="34">
        <v>9.519</v>
      </c>
      <c r="D11" s="34" t="s">
        <v>23</v>
      </c>
      <c r="E11" s="35">
        <v>-0.193</v>
      </c>
      <c r="F11" s="33">
        <v>14.326</v>
      </c>
      <c r="G11" s="34">
        <v>-13.325</v>
      </c>
      <c r="H11" s="34">
        <v>-2.604</v>
      </c>
      <c r="I11" s="34" t="s">
        <v>3</v>
      </c>
      <c r="J11" s="35">
        <v>-1.052</v>
      </c>
      <c r="K11" s="33">
        <v>-20.315</v>
      </c>
      <c r="L11" s="34">
        <v>-7.742</v>
      </c>
      <c r="M11" s="34">
        <v>1.437</v>
      </c>
      <c r="N11" s="34" t="s">
        <v>4</v>
      </c>
      <c r="O11" s="35">
        <v>-1.251</v>
      </c>
      <c r="T11" s="26"/>
      <c r="U11" s="26"/>
      <c r="V11" s="26"/>
      <c r="W11" s="26"/>
      <c r="X11" s="26"/>
      <c r="Y11" s="26"/>
      <c r="AA11" s="70"/>
      <c r="AB11" s="70"/>
      <c r="AC11" s="27"/>
    </row>
    <row r="12">
      <c r="A12" s="38">
        <v>-7.97</v>
      </c>
      <c r="B12" s="39">
        <v>-25.083</v>
      </c>
      <c r="C12" s="39">
        <v>-0.604</v>
      </c>
      <c r="D12" s="40" t="s">
        <v>6</v>
      </c>
      <c r="E12" s="41">
        <v>-0.192</v>
      </c>
      <c r="F12" s="33">
        <v>12.483</v>
      </c>
      <c r="G12" s="34">
        <v>-19.305</v>
      </c>
      <c r="H12" s="34">
        <v>-1.015</v>
      </c>
      <c r="I12" s="34" t="s">
        <v>11</v>
      </c>
      <c r="J12" s="35">
        <v>-1.032</v>
      </c>
      <c r="K12" s="33">
        <v>-5.159</v>
      </c>
      <c r="L12" s="34">
        <v>-12.618</v>
      </c>
      <c r="M12" s="34">
        <v>5.054</v>
      </c>
      <c r="N12" s="34" t="s">
        <v>17</v>
      </c>
      <c r="O12" s="35">
        <v>-1.239</v>
      </c>
      <c r="T12" s="26"/>
      <c r="U12" s="26"/>
      <c r="V12" s="26"/>
      <c r="W12" s="26"/>
      <c r="X12" s="26"/>
      <c r="Y12" s="26"/>
      <c r="AA12" s="70"/>
      <c r="AB12" s="70"/>
      <c r="AC12" s="27"/>
    </row>
    <row r="13">
      <c r="A13" s="38">
        <v>4.462</v>
      </c>
      <c r="B13" s="39">
        <v>-7.256</v>
      </c>
      <c r="C13" s="39">
        <v>10.979</v>
      </c>
      <c r="D13" s="40" t="s">
        <v>4</v>
      </c>
      <c r="E13" s="41">
        <v>-0.19</v>
      </c>
      <c r="F13" s="33">
        <v>-10.372</v>
      </c>
      <c r="G13" s="34">
        <v>-2.978</v>
      </c>
      <c r="H13" s="34">
        <v>12.073</v>
      </c>
      <c r="I13" s="34" t="s">
        <v>5</v>
      </c>
      <c r="J13" s="35">
        <v>-1.031</v>
      </c>
      <c r="K13" s="33">
        <v>-11.857</v>
      </c>
      <c r="L13" s="34">
        <v>4.458</v>
      </c>
      <c r="M13" s="34">
        <v>19.376</v>
      </c>
      <c r="N13" s="34" t="s">
        <v>7</v>
      </c>
      <c r="O13" s="35">
        <v>-1.229</v>
      </c>
      <c r="T13" s="26"/>
      <c r="U13" s="26"/>
      <c r="V13" s="26"/>
      <c r="W13" s="26"/>
      <c r="X13" s="26"/>
      <c r="Y13" s="26"/>
      <c r="AA13" s="70"/>
      <c r="AB13" s="70"/>
      <c r="AC13" s="27"/>
    </row>
    <row r="14">
      <c r="A14" s="38">
        <v>-2.666</v>
      </c>
      <c r="B14" s="39" t="s">
        <v>61</v>
      </c>
      <c r="C14" s="39">
        <v>-14.048</v>
      </c>
      <c r="D14" s="40" t="s">
        <v>4</v>
      </c>
      <c r="E14" s="41">
        <v>-0.185</v>
      </c>
      <c r="F14" s="33">
        <v>-7.644</v>
      </c>
      <c r="G14" s="34">
        <v>9.923</v>
      </c>
      <c r="H14" s="34">
        <v>-13.478</v>
      </c>
      <c r="I14" s="34" t="s">
        <v>10</v>
      </c>
      <c r="J14" s="35">
        <v>-1.03</v>
      </c>
      <c r="K14" s="33">
        <v>-11.225</v>
      </c>
      <c r="L14" s="34">
        <v>-13.41</v>
      </c>
      <c r="M14" s="34">
        <v>5.287</v>
      </c>
      <c r="N14" s="34" t="s">
        <v>4</v>
      </c>
      <c r="O14" s="35">
        <v>-1.18</v>
      </c>
      <c r="T14" s="26"/>
      <c r="U14" s="26"/>
      <c r="V14" s="26"/>
      <c r="W14" s="26"/>
      <c r="X14" s="26"/>
      <c r="Y14" s="26"/>
      <c r="AA14" s="70"/>
      <c r="AB14" s="70"/>
      <c r="AC14" s="27"/>
    </row>
    <row r="15">
      <c r="A15" s="42">
        <v>-2.27</v>
      </c>
      <c r="B15" s="43">
        <v>12.664</v>
      </c>
      <c r="C15" s="43">
        <v>-14.756</v>
      </c>
      <c r="D15" s="44" t="s">
        <v>12</v>
      </c>
      <c r="E15" s="45">
        <v>-0.181</v>
      </c>
      <c r="F15" s="46">
        <v>-5.559</v>
      </c>
      <c r="G15" s="47">
        <v>3.075</v>
      </c>
      <c r="H15" s="47">
        <v>-18.654</v>
      </c>
      <c r="I15" s="47" t="s">
        <v>8</v>
      </c>
      <c r="J15" s="48">
        <v>-1.011</v>
      </c>
      <c r="K15" s="46">
        <v>-17.34</v>
      </c>
      <c r="L15" s="47">
        <v>1.625</v>
      </c>
      <c r="M15" s="47">
        <v>20.555</v>
      </c>
      <c r="N15" s="47" t="s">
        <v>7</v>
      </c>
      <c r="O15" s="48">
        <v>-1.125</v>
      </c>
      <c r="P15" s="49"/>
      <c r="T15" s="26"/>
      <c r="U15" s="26"/>
      <c r="V15" s="26"/>
      <c r="W15" s="26"/>
      <c r="X15" s="26"/>
      <c r="Y15" s="26"/>
      <c r="AA15" s="70"/>
      <c r="AB15" s="70"/>
      <c r="AC15" s="27"/>
    </row>
    <row r="16">
      <c r="A16" s="42">
        <v>19.237</v>
      </c>
      <c r="B16" s="43">
        <v>-12.064</v>
      </c>
      <c r="C16" s="43">
        <v>-0.664</v>
      </c>
      <c r="D16" s="44" t="s">
        <v>3</v>
      </c>
      <c r="E16" s="45">
        <v>-0.178</v>
      </c>
      <c r="F16" s="46">
        <v>-6.858</v>
      </c>
      <c r="G16" s="47">
        <v>-9.684</v>
      </c>
      <c r="H16" s="47">
        <v>-0.337</v>
      </c>
      <c r="I16" s="47" t="s">
        <v>4</v>
      </c>
      <c r="J16" s="48">
        <v>-1.009</v>
      </c>
      <c r="K16" s="46">
        <v>-20.822</v>
      </c>
      <c r="L16" s="47">
        <v>-9.894</v>
      </c>
      <c r="M16" s="47">
        <v>-4.461</v>
      </c>
      <c r="N16" s="47" t="s">
        <v>15</v>
      </c>
      <c r="O16" s="48">
        <v>-1.121</v>
      </c>
      <c r="P16" s="50"/>
      <c r="T16" s="26"/>
      <c r="U16" s="26"/>
      <c r="V16" s="26"/>
      <c r="W16" s="26"/>
      <c r="X16" s="26"/>
      <c r="Y16" s="26"/>
      <c r="AA16" s="70"/>
      <c r="AB16" s="70"/>
      <c r="AC16" s="27"/>
    </row>
    <row r="17">
      <c r="A17" s="46">
        <v>2.591</v>
      </c>
      <c r="B17" s="47">
        <v>-8.399</v>
      </c>
      <c r="C17" s="47">
        <v>8.804</v>
      </c>
      <c r="D17" s="47" t="s">
        <v>8</v>
      </c>
      <c r="E17" s="48">
        <v>-0.171</v>
      </c>
      <c r="F17" s="46">
        <v>3.037</v>
      </c>
      <c r="G17" s="47">
        <v>-0.715</v>
      </c>
      <c r="H17" s="47">
        <v>3.991</v>
      </c>
      <c r="I17" s="47" t="s">
        <v>23</v>
      </c>
      <c r="J17" s="48">
        <v>-1.001</v>
      </c>
      <c r="K17" s="51">
        <v>11.316</v>
      </c>
      <c r="L17" s="52">
        <v>3.318</v>
      </c>
      <c r="M17" s="52">
        <v>-9.88</v>
      </c>
      <c r="N17" s="52" t="s">
        <v>13</v>
      </c>
      <c r="O17" s="53">
        <v>-1.093</v>
      </c>
      <c r="P17" s="47"/>
      <c r="T17" s="26"/>
      <c r="U17" s="26"/>
      <c r="V17" s="26"/>
      <c r="W17" s="26"/>
      <c r="X17" s="26"/>
      <c r="Y17" s="26"/>
      <c r="AA17" s="70"/>
      <c r="AB17" s="70"/>
      <c r="AC17" s="27"/>
    </row>
    <row r="18">
      <c r="A18" s="46">
        <v>17.102</v>
      </c>
      <c r="B18" s="47">
        <v>-12.363</v>
      </c>
      <c r="C18" s="47">
        <v>0.219</v>
      </c>
      <c r="D18" s="47" t="s">
        <v>15</v>
      </c>
      <c r="E18" s="48">
        <v>-0.165</v>
      </c>
      <c r="F18" s="46">
        <v>2.439</v>
      </c>
      <c r="G18" s="47">
        <v>5.552</v>
      </c>
      <c r="H18" s="47">
        <v>4.228</v>
      </c>
      <c r="I18" s="47" t="s">
        <v>15</v>
      </c>
      <c r="J18" s="48">
        <v>-0.997</v>
      </c>
      <c r="K18" s="54">
        <v>1.097</v>
      </c>
      <c r="L18" s="55">
        <v>-1.998</v>
      </c>
      <c r="M18" s="55">
        <v>13.115</v>
      </c>
      <c r="N18" s="55" t="s">
        <v>16</v>
      </c>
      <c r="O18" s="48">
        <v>-1.091</v>
      </c>
      <c r="P18" s="47"/>
      <c r="T18" s="26"/>
      <c r="U18" s="26"/>
      <c r="V18" s="26"/>
      <c r="W18" s="26"/>
      <c r="X18" s="26"/>
      <c r="Y18" s="26"/>
      <c r="AA18" s="70"/>
      <c r="AB18" s="70"/>
      <c r="AC18" s="27"/>
    </row>
    <row r="19">
      <c r="A19" s="46">
        <v>-2.688</v>
      </c>
      <c r="B19" s="47">
        <v>-20.292</v>
      </c>
      <c r="C19" s="47">
        <v>-3.861</v>
      </c>
      <c r="D19" s="47" t="s">
        <v>3</v>
      </c>
      <c r="E19" s="48">
        <v>-0.163</v>
      </c>
      <c r="F19" s="46">
        <v>4.84</v>
      </c>
      <c r="G19" s="47">
        <v>-7.557</v>
      </c>
      <c r="H19" s="47">
        <v>-14.72</v>
      </c>
      <c r="I19" s="47" t="s">
        <v>2</v>
      </c>
      <c r="J19" s="48">
        <v>-0.997</v>
      </c>
      <c r="K19" s="46">
        <v>-21.3</v>
      </c>
      <c r="L19" s="47">
        <v>-11.688</v>
      </c>
      <c r="M19" s="47">
        <v>-6.652</v>
      </c>
      <c r="N19" s="47" t="s">
        <v>4</v>
      </c>
      <c r="O19" s="48">
        <v>-1.056</v>
      </c>
      <c r="P19" s="47"/>
      <c r="T19" s="26"/>
      <c r="U19" s="26"/>
      <c r="V19" s="26"/>
      <c r="W19" s="26"/>
      <c r="X19" s="26"/>
      <c r="Y19" s="26"/>
      <c r="AA19" s="70"/>
      <c r="AB19" s="70"/>
      <c r="AC19" s="27"/>
    </row>
    <row r="20">
      <c r="A20" s="46">
        <v>17.032</v>
      </c>
      <c r="B20" s="47">
        <v>-10.614</v>
      </c>
      <c r="C20" s="47">
        <v>2.668</v>
      </c>
      <c r="D20" s="47" t="s">
        <v>12</v>
      </c>
      <c r="E20" s="48">
        <v>-0.161</v>
      </c>
      <c r="F20" s="46">
        <v>-5.711</v>
      </c>
      <c r="G20" s="47">
        <v>-16.086</v>
      </c>
      <c r="H20" s="47">
        <v>1.678</v>
      </c>
      <c r="I20" s="47" t="s">
        <v>10</v>
      </c>
      <c r="J20" s="48">
        <v>-0.994</v>
      </c>
      <c r="K20" s="46">
        <v>-0.1</v>
      </c>
      <c r="L20" s="47">
        <v>22.18</v>
      </c>
      <c r="M20" s="47">
        <v>8.275</v>
      </c>
      <c r="N20" s="47" t="s">
        <v>14</v>
      </c>
      <c r="O20" s="48">
        <v>-1.041</v>
      </c>
      <c r="P20" s="47"/>
      <c r="T20" s="26"/>
      <c r="U20" s="26"/>
      <c r="V20" s="26"/>
      <c r="W20" s="26"/>
      <c r="X20" s="26"/>
      <c r="Y20" s="26"/>
      <c r="AA20" s="70"/>
      <c r="AB20" s="70"/>
      <c r="AC20" s="27"/>
    </row>
    <row r="21">
      <c r="A21" s="46">
        <v>16.694</v>
      </c>
      <c r="B21" s="47">
        <v>-10.27</v>
      </c>
      <c r="C21" s="47">
        <v>3.425</v>
      </c>
      <c r="D21" s="47" t="s">
        <v>10</v>
      </c>
      <c r="E21" s="48">
        <v>-0.161</v>
      </c>
      <c r="F21" s="46">
        <v>9.608</v>
      </c>
      <c r="G21" s="47">
        <v>-10.305</v>
      </c>
      <c r="H21" s="47">
        <v>6.825</v>
      </c>
      <c r="I21" s="47" t="s">
        <v>17</v>
      </c>
      <c r="J21" s="48">
        <v>-0.992</v>
      </c>
      <c r="K21" s="46">
        <v>-22.676</v>
      </c>
      <c r="L21" s="47">
        <v>12.362</v>
      </c>
      <c r="M21" s="47">
        <v>6.445</v>
      </c>
      <c r="N21" s="47" t="s">
        <v>13</v>
      </c>
      <c r="O21" s="48">
        <v>-1.031</v>
      </c>
      <c r="P21" s="47"/>
      <c r="T21" s="26"/>
      <c r="U21" s="26"/>
      <c r="V21" s="26"/>
      <c r="W21" s="26"/>
      <c r="X21" s="26"/>
      <c r="Y21" s="26"/>
      <c r="AA21" s="70"/>
      <c r="AB21" s="70"/>
      <c r="AC21" s="27"/>
    </row>
    <row r="22">
      <c r="A22" s="46">
        <v>-3.33</v>
      </c>
      <c r="B22" s="47">
        <v>23.631</v>
      </c>
      <c r="C22" s="47">
        <v>1.188</v>
      </c>
      <c r="D22" s="47" t="s">
        <v>4</v>
      </c>
      <c r="E22" s="48">
        <v>-0.157</v>
      </c>
      <c r="F22" s="46">
        <v>2.621</v>
      </c>
      <c r="G22" s="47">
        <v>17.224</v>
      </c>
      <c r="H22" s="47">
        <v>16.933</v>
      </c>
      <c r="I22" s="47" t="s">
        <v>6</v>
      </c>
      <c r="J22" s="48">
        <v>-0.992</v>
      </c>
      <c r="K22" s="46">
        <v>-17.425</v>
      </c>
      <c r="L22" s="47">
        <v>1.355</v>
      </c>
      <c r="M22" s="47">
        <v>20.835</v>
      </c>
      <c r="N22" s="47" t="s">
        <v>4</v>
      </c>
      <c r="O22" s="48">
        <v>-1.024</v>
      </c>
      <c r="P22" s="47"/>
      <c r="T22" s="26"/>
      <c r="U22" s="26"/>
      <c r="V22" s="26"/>
      <c r="W22" s="26"/>
      <c r="X22" s="26"/>
      <c r="Y22" s="26"/>
      <c r="AA22" s="70"/>
      <c r="AB22" s="70"/>
      <c r="AC22" s="27"/>
    </row>
    <row r="23">
      <c r="A23" s="46">
        <v>-27.558</v>
      </c>
      <c r="B23" s="47">
        <v>8.832</v>
      </c>
      <c r="C23" s="47">
        <v>-4.748</v>
      </c>
      <c r="D23" s="47" t="s">
        <v>4</v>
      </c>
      <c r="E23" s="48">
        <v>-0.157</v>
      </c>
      <c r="F23" s="46">
        <v>-7.508</v>
      </c>
      <c r="G23" s="47">
        <v>-6.908</v>
      </c>
      <c r="H23" s="47">
        <v>8.992</v>
      </c>
      <c r="I23" s="47" t="s">
        <v>10</v>
      </c>
      <c r="J23" s="48">
        <v>-0.991</v>
      </c>
      <c r="K23" s="46">
        <v>-9.982</v>
      </c>
      <c r="L23" s="47">
        <v>-1.66</v>
      </c>
      <c r="M23" s="47">
        <v>-17.231</v>
      </c>
      <c r="N23" s="47" t="s">
        <v>4</v>
      </c>
      <c r="O23" s="48">
        <v>-0.946</v>
      </c>
      <c r="P23" s="47"/>
      <c r="T23" s="26"/>
      <c r="U23" s="26"/>
      <c r="V23" s="26"/>
      <c r="W23" s="26"/>
      <c r="X23" s="26"/>
      <c r="Y23" s="26"/>
      <c r="AA23" s="70"/>
      <c r="AB23" s="70"/>
      <c r="AC23" s="27"/>
    </row>
    <row r="24">
      <c r="A24" s="46">
        <v>-10.129</v>
      </c>
      <c r="B24" s="47">
        <v>19.1</v>
      </c>
      <c r="C24" s="47">
        <v>-6.01</v>
      </c>
      <c r="D24" s="47" t="s">
        <v>4</v>
      </c>
      <c r="E24" s="48">
        <v>-0.156</v>
      </c>
      <c r="F24" s="46">
        <v>-6.155</v>
      </c>
      <c r="G24" s="47">
        <v>-2.917</v>
      </c>
      <c r="H24" s="47">
        <v>12.167</v>
      </c>
      <c r="I24" s="47" t="s">
        <v>11</v>
      </c>
      <c r="J24" s="48">
        <v>-0.988</v>
      </c>
      <c r="K24" s="46">
        <v>-22.046</v>
      </c>
      <c r="L24" s="47">
        <v>7.648</v>
      </c>
      <c r="M24" s="47">
        <v>1.973</v>
      </c>
      <c r="N24" s="47" t="s">
        <v>7</v>
      </c>
      <c r="O24" s="48">
        <v>-0.909</v>
      </c>
      <c r="P24" s="47"/>
      <c r="T24" s="26"/>
      <c r="U24" s="26"/>
      <c r="V24" s="26"/>
      <c r="W24" s="26"/>
      <c r="X24" s="26"/>
      <c r="Y24" s="26"/>
      <c r="AA24" s="70"/>
      <c r="AB24" s="70"/>
      <c r="AC24" s="27"/>
    </row>
    <row r="25">
      <c r="A25" s="46">
        <v>-4.095</v>
      </c>
      <c r="B25" s="47">
        <v>23.273</v>
      </c>
      <c r="C25" s="47">
        <v>0.761</v>
      </c>
      <c r="D25" s="47" t="s">
        <v>6</v>
      </c>
      <c r="E25" s="48">
        <v>-0.156</v>
      </c>
      <c r="F25" s="46">
        <v>-7.526</v>
      </c>
      <c r="G25" s="47">
        <v>-2.987</v>
      </c>
      <c r="H25" s="47">
        <v>10.812</v>
      </c>
      <c r="I25" s="47" t="s">
        <v>9</v>
      </c>
      <c r="J25" s="48">
        <v>-0.988</v>
      </c>
      <c r="K25" s="46">
        <v>-7.956</v>
      </c>
      <c r="L25" s="47">
        <v>-5.795</v>
      </c>
      <c r="M25" s="47">
        <v>8.496</v>
      </c>
      <c r="N25" s="47" t="s">
        <v>10</v>
      </c>
      <c r="O25" s="48">
        <v>-0.899</v>
      </c>
      <c r="P25" s="47"/>
      <c r="T25" s="26"/>
      <c r="U25" s="26"/>
      <c r="V25" s="26"/>
      <c r="W25" s="26"/>
      <c r="X25" s="26"/>
      <c r="Y25" s="26"/>
      <c r="AA25" s="70"/>
      <c r="AB25" s="70"/>
      <c r="AC25" s="27"/>
    </row>
    <row r="26">
      <c r="A26" s="46">
        <v>-14.751</v>
      </c>
      <c r="B26" s="47">
        <v>-15.675</v>
      </c>
      <c r="C26" s="47">
        <v>-18.072</v>
      </c>
      <c r="D26" s="47" t="s">
        <v>9</v>
      </c>
      <c r="E26" s="48">
        <v>-0.152</v>
      </c>
      <c r="F26" s="46">
        <v>-11.351</v>
      </c>
      <c r="G26" s="47">
        <v>-0.206</v>
      </c>
      <c r="H26" s="47">
        <v>21.045</v>
      </c>
      <c r="I26" s="47" t="s">
        <v>10</v>
      </c>
      <c r="J26" s="48">
        <v>-0.987</v>
      </c>
      <c r="K26" s="46">
        <v>7.99</v>
      </c>
      <c r="L26" s="47">
        <v>8.046</v>
      </c>
      <c r="M26" s="47">
        <v>5.734</v>
      </c>
      <c r="N26" s="47" t="s">
        <v>15</v>
      </c>
      <c r="O26" s="48">
        <v>-0.896</v>
      </c>
      <c r="P26" s="47"/>
      <c r="T26" s="26"/>
      <c r="U26" s="26"/>
      <c r="V26" s="26"/>
      <c r="W26" s="26"/>
      <c r="X26" s="26"/>
      <c r="Y26" s="26"/>
      <c r="AA26" s="70"/>
      <c r="AB26" s="70"/>
      <c r="AC26" s="27"/>
    </row>
    <row r="27">
      <c r="A27" s="46">
        <v>-11.327</v>
      </c>
      <c r="B27" s="47">
        <v>-11.582</v>
      </c>
      <c r="C27" s="47">
        <v>4.74</v>
      </c>
      <c r="D27" s="47" t="s">
        <v>4</v>
      </c>
      <c r="E27" s="48">
        <v>-0.152</v>
      </c>
      <c r="F27" s="46">
        <v>-3.821</v>
      </c>
      <c r="G27" s="47">
        <v>4.148</v>
      </c>
      <c r="H27" s="47">
        <v>7.102</v>
      </c>
      <c r="I27" s="47" t="s">
        <v>2</v>
      </c>
      <c r="J27" s="48">
        <v>-0.981</v>
      </c>
      <c r="K27" s="56">
        <v>6.754</v>
      </c>
      <c r="L27" s="57">
        <v>16.575</v>
      </c>
      <c r="M27" s="57">
        <v>-1.404</v>
      </c>
      <c r="N27" s="57" t="s">
        <v>11</v>
      </c>
      <c r="O27" s="58">
        <v>-0.882</v>
      </c>
      <c r="P27" s="47"/>
      <c r="T27" s="26"/>
      <c r="U27" s="26"/>
      <c r="V27" s="26"/>
      <c r="W27" s="26"/>
      <c r="X27" s="26"/>
      <c r="Y27" s="26"/>
      <c r="AA27" s="70"/>
      <c r="AB27" s="70"/>
      <c r="AC27" s="27"/>
    </row>
    <row r="28">
      <c r="A28" s="46">
        <v>-3.06</v>
      </c>
      <c r="B28" s="47">
        <v>11.934</v>
      </c>
      <c r="C28" s="47">
        <v>-13.589</v>
      </c>
      <c r="D28" s="47" t="s">
        <v>10</v>
      </c>
      <c r="E28" s="48">
        <v>-0.15</v>
      </c>
      <c r="F28" s="46">
        <v>0.374</v>
      </c>
      <c r="G28" s="47">
        <v>11.689</v>
      </c>
      <c r="H28" s="47">
        <v>6.263</v>
      </c>
      <c r="I28" s="47" t="s">
        <v>16</v>
      </c>
      <c r="J28" s="48">
        <v>-0.972</v>
      </c>
      <c r="K28" s="56">
        <v>1.755</v>
      </c>
      <c r="L28" s="57">
        <v>-14.64</v>
      </c>
      <c r="M28" s="57">
        <v>1.493</v>
      </c>
      <c r="N28" s="57" t="s">
        <v>2</v>
      </c>
      <c r="O28" s="58">
        <v>-0.882</v>
      </c>
      <c r="P28" s="47"/>
      <c r="T28" s="26"/>
      <c r="U28" s="26"/>
      <c r="V28" s="26"/>
      <c r="W28" s="26"/>
      <c r="X28" s="26"/>
      <c r="Y28" s="26"/>
      <c r="AA28" s="70"/>
      <c r="AB28" s="70"/>
      <c r="AC28" s="27"/>
    </row>
    <row r="29">
      <c r="A29" s="46">
        <v>0.221</v>
      </c>
      <c r="B29" s="47">
        <v>25.166</v>
      </c>
      <c r="C29" s="47">
        <v>14.844</v>
      </c>
      <c r="D29" s="47" t="s">
        <v>12</v>
      </c>
      <c r="E29" s="48">
        <v>-0.147</v>
      </c>
      <c r="F29" s="46">
        <v>-7.474</v>
      </c>
      <c r="G29" s="47">
        <v>-8.853</v>
      </c>
      <c r="H29" s="47">
        <v>-0.693</v>
      </c>
      <c r="I29" s="47" t="s">
        <v>2</v>
      </c>
      <c r="J29" s="48">
        <v>-0.97</v>
      </c>
      <c r="K29" s="56">
        <v>-10.35</v>
      </c>
      <c r="L29" s="57">
        <v>-8.906</v>
      </c>
      <c r="M29" s="57">
        <v>-17.995</v>
      </c>
      <c r="N29" s="57" t="s">
        <v>8</v>
      </c>
      <c r="O29" s="58">
        <v>-0.88</v>
      </c>
      <c r="P29" s="47"/>
      <c r="T29" s="26"/>
      <c r="U29" s="26"/>
      <c r="V29" s="26"/>
      <c r="W29" s="26"/>
      <c r="X29" s="26"/>
      <c r="Y29" s="26"/>
      <c r="AA29" s="70"/>
      <c r="AB29" s="70"/>
      <c r="AC29" s="27"/>
    </row>
    <row r="30">
      <c r="A30" s="46">
        <v>-0.166</v>
      </c>
      <c r="B30" s="47">
        <v>25.374</v>
      </c>
      <c r="C30" s="47">
        <v>14.756</v>
      </c>
      <c r="D30" s="47" t="s">
        <v>14</v>
      </c>
      <c r="E30" s="48">
        <v>-0.146</v>
      </c>
      <c r="F30" s="46">
        <v>-6.334</v>
      </c>
      <c r="G30" s="47">
        <v>-21.782</v>
      </c>
      <c r="H30" s="47">
        <v>0.151</v>
      </c>
      <c r="I30" s="47" t="s">
        <v>15</v>
      </c>
      <c r="J30" s="48">
        <v>-0.965</v>
      </c>
      <c r="K30" s="56">
        <v>3.767</v>
      </c>
      <c r="L30" s="57">
        <v>-18.276</v>
      </c>
      <c r="M30" s="57">
        <v>-8.763</v>
      </c>
      <c r="N30" s="57" t="s">
        <v>8</v>
      </c>
      <c r="O30" s="58">
        <v>-0.866</v>
      </c>
      <c r="P30" s="47"/>
      <c r="T30" s="26"/>
      <c r="U30" s="26"/>
      <c r="V30" s="26"/>
      <c r="W30" s="26"/>
      <c r="X30" s="26"/>
      <c r="Y30" s="26"/>
      <c r="AA30" s="70"/>
      <c r="AB30" s="70"/>
      <c r="AC30" s="27"/>
    </row>
    <row r="31">
      <c r="A31" s="46">
        <v>1.097</v>
      </c>
      <c r="B31" s="47">
        <v>-1.998</v>
      </c>
      <c r="C31" s="47">
        <v>13.115</v>
      </c>
      <c r="D31" s="47" t="s">
        <v>16</v>
      </c>
      <c r="E31" s="48">
        <v>-0.145</v>
      </c>
      <c r="F31" s="46">
        <v>13.424</v>
      </c>
      <c r="G31" s="47">
        <v>-9.438</v>
      </c>
      <c r="H31" s="47">
        <v>-7.037</v>
      </c>
      <c r="I31" s="47" t="s">
        <v>13</v>
      </c>
      <c r="J31" s="48">
        <v>-0.965</v>
      </c>
      <c r="K31" s="46">
        <v>-10.771</v>
      </c>
      <c r="L31" s="47">
        <v>-9.706</v>
      </c>
      <c r="M31" s="47">
        <v>-17.775</v>
      </c>
      <c r="N31" s="47" t="s">
        <v>5</v>
      </c>
      <c r="O31" s="48">
        <v>-0.86</v>
      </c>
      <c r="T31" s="26"/>
      <c r="U31" s="26"/>
      <c r="V31" s="26"/>
      <c r="W31" s="26"/>
      <c r="X31" s="26"/>
      <c r="Y31" s="26"/>
      <c r="AA31" s="70"/>
      <c r="AB31" s="70"/>
      <c r="AC31" s="27"/>
    </row>
    <row r="32">
      <c r="A32" s="46">
        <v>-12.315</v>
      </c>
      <c r="B32" s="47">
        <v>-13.032</v>
      </c>
      <c r="C32" s="47">
        <v>3.273</v>
      </c>
      <c r="D32" s="47" t="s">
        <v>15</v>
      </c>
      <c r="E32" s="48">
        <v>-0.143</v>
      </c>
      <c r="F32" s="46">
        <v>-0.19</v>
      </c>
      <c r="G32" s="47">
        <v>18.016</v>
      </c>
      <c r="H32" s="47">
        <v>11.198</v>
      </c>
      <c r="I32" s="47" t="s">
        <v>10</v>
      </c>
      <c r="J32" s="48">
        <v>-0.959</v>
      </c>
      <c r="K32" s="46">
        <v>-10.654</v>
      </c>
      <c r="L32" s="47">
        <v>-9.273</v>
      </c>
      <c r="M32" s="47">
        <v>-17.874</v>
      </c>
      <c r="N32" s="47" t="s">
        <v>10</v>
      </c>
      <c r="O32" s="48">
        <v>-0.858</v>
      </c>
      <c r="T32" s="26"/>
      <c r="U32" s="26"/>
      <c r="V32" s="26"/>
      <c r="W32" s="26"/>
      <c r="X32" s="26"/>
      <c r="Y32" s="26"/>
      <c r="AA32" s="70"/>
      <c r="AB32" s="70"/>
      <c r="AC32" s="27"/>
    </row>
    <row r="33">
      <c r="A33" s="46">
        <v>-14.203</v>
      </c>
      <c r="B33" s="47">
        <v>-15.62</v>
      </c>
      <c r="C33" s="47">
        <v>-18.464</v>
      </c>
      <c r="D33" s="47" t="s">
        <v>16</v>
      </c>
      <c r="E33" s="48">
        <v>-0.142</v>
      </c>
      <c r="F33" s="46">
        <v>2.333</v>
      </c>
      <c r="G33" s="47">
        <v>-15.357</v>
      </c>
      <c r="H33" s="47">
        <v>1.692</v>
      </c>
      <c r="I33" s="47" t="s">
        <v>2</v>
      </c>
      <c r="J33" s="48">
        <v>-0.955</v>
      </c>
      <c r="K33" s="46">
        <v>-2.936</v>
      </c>
      <c r="L33" s="47">
        <v>-20.32</v>
      </c>
      <c r="M33" s="47">
        <v>2.581</v>
      </c>
      <c r="N33" s="47" t="s">
        <v>10</v>
      </c>
      <c r="O33" s="48">
        <v>-0.856</v>
      </c>
      <c r="T33" s="26"/>
      <c r="U33" s="26"/>
      <c r="V33" s="26"/>
      <c r="W33" s="26"/>
      <c r="X33" s="26"/>
      <c r="Y33" s="26"/>
      <c r="AA33" s="70"/>
      <c r="AB33" s="70"/>
      <c r="AC33" s="27"/>
    </row>
    <row r="34">
      <c r="A34" s="59">
        <v>-2.714</v>
      </c>
      <c r="B34" s="60">
        <v>-20.692</v>
      </c>
      <c r="C34" s="60">
        <v>-4.271</v>
      </c>
      <c r="D34" s="60" t="s">
        <v>14</v>
      </c>
      <c r="E34" s="61">
        <v>-0.142</v>
      </c>
      <c r="F34" s="59">
        <v>0.275</v>
      </c>
      <c r="G34" s="60">
        <v>19.045</v>
      </c>
      <c r="H34" s="60">
        <v>10.272</v>
      </c>
      <c r="I34" s="60" t="s">
        <v>12</v>
      </c>
      <c r="J34" s="61">
        <v>-0.952</v>
      </c>
      <c r="K34" s="59">
        <v>8.538</v>
      </c>
      <c r="L34" s="60">
        <v>-21.815</v>
      </c>
      <c r="M34" s="60">
        <v>-10.43</v>
      </c>
      <c r="N34" s="60" t="s">
        <v>6</v>
      </c>
      <c r="O34" s="61">
        <v>-0.856</v>
      </c>
      <c r="T34" s="26"/>
      <c r="U34" s="26"/>
      <c r="V34" s="26"/>
      <c r="W34" s="26"/>
      <c r="X34" s="26"/>
      <c r="Y34" s="26"/>
      <c r="AA34" s="70"/>
      <c r="AB34" s="70"/>
      <c r="AC34" s="27"/>
    </row>
    <row r="35">
      <c r="A35" s="12" t="s">
        <v>34</v>
      </c>
      <c r="B35" s="12"/>
      <c r="C35" s="12"/>
      <c r="D35" s="13"/>
      <c r="E35" s="13"/>
      <c r="F35" s="14" t="s">
        <v>35</v>
      </c>
      <c r="G35" s="14"/>
      <c r="H35" s="14"/>
      <c r="I35" s="13"/>
      <c r="J35" s="13"/>
      <c r="K35" s="14" t="s">
        <v>36</v>
      </c>
      <c r="L35" s="14"/>
      <c r="M35" s="14"/>
      <c r="N35" s="13"/>
      <c r="O35" s="13"/>
      <c r="T35" s="26"/>
      <c r="U35" s="26"/>
      <c r="V35" s="26"/>
      <c r="W35" s="26"/>
      <c r="X35" s="26"/>
      <c r="Y35" s="26"/>
      <c r="AA35" s="70"/>
      <c r="AB35" s="70"/>
      <c r="AC35" s="27"/>
    </row>
    <row r="36">
      <c r="A36" s="20" t="s">
        <v>37</v>
      </c>
      <c r="B36" s="21" t="s">
        <v>38</v>
      </c>
      <c r="C36" s="21" t="s">
        <v>39</v>
      </c>
      <c r="D36" s="21" t="s">
        <v>40</v>
      </c>
      <c r="E36" s="22" t="s">
        <v>41</v>
      </c>
      <c r="F36" s="20" t="s">
        <v>37</v>
      </c>
      <c r="G36" s="21" t="s">
        <v>38</v>
      </c>
      <c r="H36" s="21" t="s">
        <v>39</v>
      </c>
      <c r="I36" s="21" t="s">
        <v>40</v>
      </c>
      <c r="J36" s="22" t="s">
        <v>41</v>
      </c>
      <c r="K36" s="20" t="s">
        <v>37</v>
      </c>
      <c r="L36" s="21" t="s">
        <v>38</v>
      </c>
      <c r="M36" s="21" t="s">
        <v>39</v>
      </c>
      <c r="N36" s="21" t="s">
        <v>40</v>
      </c>
      <c r="O36" s="22" t="s">
        <v>41</v>
      </c>
      <c r="T36" s="26"/>
      <c r="U36" s="26"/>
      <c r="V36" s="26"/>
      <c r="W36" s="26"/>
      <c r="X36" s="26"/>
      <c r="Y36" s="26"/>
      <c r="AA36" s="70"/>
      <c r="AB36" s="70"/>
      <c r="AC36" s="27"/>
    </row>
    <row r="37">
      <c r="A37" s="28">
        <v>-11.351</v>
      </c>
      <c r="B37" s="29">
        <v>-0.206</v>
      </c>
      <c r="C37" s="29">
        <v>21.045</v>
      </c>
      <c r="D37" s="29" t="s">
        <v>10</v>
      </c>
      <c r="E37" s="30">
        <v>-1.238</v>
      </c>
      <c r="F37" s="28">
        <v>6.68</v>
      </c>
      <c r="G37" s="29">
        <v>16.95</v>
      </c>
      <c r="H37" s="29">
        <v>-1.123</v>
      </c>
      <c r="I37" s="29" t="s">
        <v>10</v>
      </c>
      <c r="J37" s="30">
        <v>-1.324</v>
      </c>
      <c r="K37" s="28">
        <v>-11.351</v>
      </c>
      <c r="L37" s="29">
        <v>-0.206</v>
      </c>
      <c r="M37" s="29">
        <v>21.045</v>
      </c>
      <c r="N37" s="29" t="s">
        <v>10</v>
      </c>
      <c r="O37" s="30">
        <v>-0.835</v>
      </c>
      <c r="T37" s="26"/>
      <c r="U37" s="26"/>
      <c r="V37" s="26"/>
      <c r="W37" s="26"/>
      <c r="X37" s="26"/>
      <c r="Y37" s="26"/>
      <c r="AA37" s="70"/>
      <c r="AB37" s="70"/>
      <c r="AC37" s="27"/>
    </row>
    <row r="38">
      <c r="A38" s="33">
        <v>6.68</v>
      </c>
      <c r="B38" s="34">
        <v>16.95</v>
      </c>
      <c r="C38" s="34">
        <v>-1.123</v>
      </c>
      <c r="D38" s="34" t="s">
        <v>10</v>
      </c>
      <c r="E38" s="35">
        <v>-1.121</v>
      </c>
      <c r="F38" s="33">
        <v>-10.542</v>
      </c>
      <c r="G38" s="34">
        <v>-9.202</v>
      </c>
      <c r="H38" s="34">
        <v>-17.713</v>
      </c>
      <c r="I38" s="34" t="s">
        <v>5</v>
      </c>
      <c r="J38" s="35">
        <v>-1.288</v>
      </c>
      <c r="K38" s="33">
        <v>-0.884</v>
      </c>
      <c r="L38" s="34">
        <v>19.574</v>
      </c>
      <c r="M38" s="34">
        <v>9.659</v>
      </c>
      <c r="N38" s="34" t="s">
        <v>12</v>
      </c>
      <c r="O38" s="35">
        <v>-0.799</v>
      </c>
      <c r="T38" s="26"/>
      <c r="U38" s="26"/>
      <c r="V38" s="26"/>
      <c r="W38" s="26"/>
      <c r="X38" s="26"/>
      <c r="Y38" s="26"/>
      <c r="AA38" s="70"/>
      <c r="AB38" s="70"/>
      <c r="AC38" s="27"/>
    </row>
    <row r="39">
      <c r="A39" s="33">
        <v>-11.286</v>
      </c>
      <c r="B39" s="34">
        <v>-25.065</v>
      </c>
      <c r="C39" s="34">
        <v>-5.404</v>
      </c>
      <c r="D39" s="34" t="s">
        <v>6</v>
      </c>
      <c r="E39" s="35">
        <v>-1.048</v>
      </c>
      <c r="F39" s="33">
        <v>-7.956</v>
      </c>
      <c r="G39" s="34">
        <v>-5.795</v>
      </c>
      <c r="H39" s="34">
        <v>8.496</v>
      </c>
      <c r="I39" s="34" t="s">
        <v>10</v>
      </c>
      <c r="J39" s="35">
        <v>-1.283</v>
      </c>
      <c r="K39" s="33">
        <v>-5.485</v>
      </c>
      <c r="L39" s="34">
        <v>24.696</v>
      </c>
      <c r="M39" s="34">
        <v>5.02</v>
      </c>
      <c r="N39" s="34" t="s">
        <v>2</v>
      </c>
      <c r="O39" s="35">
        <v>-0.745</v>
      </c>
      <c r="T39" s="26"/>
      <c r="U39" s="26"/>
      <c r="V39" s="26"/>
      <c r="W39" s="26"/>
      <c r="X39" s="26"/>
      <c r="Y39" s="26"/>
      <c r="AA39" s="70"/>
      <c r="AB39" s="70"/>
      <c r="AC39" s="27"/>
    </row>
    <row r="40">
      <c r="A40" s="33">
        <v>-5.485</v>
      </c>
      <c r="B40" s="34">
        <v>24.696</v>
      </c>
      <c r="C40" s="34">
        <v>5.02</v>
      </c>
      <c r="D40" s="34" t="s">
        <v>2</v>
      </c>
      <c r="E40" s="35">
        <v>-1.037</v>
      </c>
      <c r="F40" s="33">
        <v>-1.992</v>
      </c>
      <c r="G40" s="34">
        <v>-12.414</v>
      </c>
      <c r="H40" s="34">
        <v>23.074</v>
      </c>
      <c r="I40" s="34" t="s">
        <v>7</v>
      </c>
      <c r="J40" s="35">
        <v>-1.27</v>
      </c>
      <c r="K40" s="33">
        <v>-3.824</v>
      </c>
      <c r="L40" s="34">
        <v>-19.994</v>
      </c>
      <c r="M40" s="34">
        <v>2.07</v>
      </c>
      <c r="N40" s="34" t="s">
        <v>10</v>
      </c>
      <c r="O40" s="35">
        <v>-0.739</v>
      </c>
      <c r="T40" s="26"/>
      <c r="U40" s="26"/>
      <c r="V40" s="26"/>
      <c r="W40" s="26"/>
      <c r="X40" s="26"/>
      <c r="Y40" s="26"/>
      <c r="AA40" s="70"/>
      <c r="AB40" s="70"/>
      <c r="AC40" s="27"/>
    </row>
    <row r="41">
      <c r="A41" s="33">
        <v>8.566</v>
      </c>
      <c r="B41" s="34">
        <v>-21.77</v>
      </c>
      <c r="C41" s="34">
        <v>-9.768</v>
      </c>
      <c r="D41" s="34" t="s">
        <v>6</v>
      </c>
      <c r="E41" s="35">
        <v>-1.017</v>
      </c>
      <c r="F41" s="33">
        <v>-10.35</v>
      </c>
      <c r="G41" s="34">
        <v>-8.906</v>
      </c>
      <c r="H41" s="34">
        <v>-17.995</v>
      </c>
      <c r="I41" s="34" t="s">
        <v>8</v>
      </c>
      <c r="J41" s="35">
        <v>-1.269</v>
      </c>
      <c r="K41" s="33">
        <v>-10.378</v>
      </c>
      <c r="L41" s="34">
        <v>-0.745</v>
      </c>
      <c r="M41" s="34">
        <v>-14.561</v>
      </c>
      <c r="N41" s="34" t="s">
        <v>4</v>
      </c>
      <c r="O41" s="35">
        <v>-0.717</v>
      </c>
      <c r="T41" s="26"/>
      <c r="U41" s="26"/>
      <c r="V41" s="26"/>
      <c r="W41" s="26"/>
      <c r="X41" s="26"/>
      <c r="Y41" s="26"/>
      <c r="AA41" s="70"/>
      <c r="AB41" s="70"/>
      <c r="AC41" s="27"/>
    </row>
    <row r="42">
      <c r="A42" s="33">
        <v>-8.244</v>
      </c>
      <c r="B42" s="34">
        <v>-4.744</v>
      </c>
      <c r="C42" s="34">
        <v>8.996</v>
      </c>
      <c r="D42" s="34" t="s">
        <v>10</v>
      </c>
      <c r="E42" s="35">
        <v>-0.981</v>
      </c>
      <c r="F42" s="33">
        <v>-8.26</v>
      </c>
      <c r="G42" s="34">
        <v>-4.52</v>
      </c>
      <c r="H42" s="34">
        <v>8.763</v>
      </c>
      <c r="I42" s="34" t="s">
        <v>9</v>
      </c>
      <c r="J42" s="35">
        <v>-1.267</v>
      </c>
      <c r="K42" s="33">
        <v>-8.063</v>
      </c>
      <c r="L42" s="34">
        <v>5.467</v>
      </c>
      <c r="M42" s="34">
        <v>-11.187</v>
      </c>
      <c r="N42" s="34" t="s">
        <v>10</v>
      </c>
      <c r="O42" s="35">
        <v>-0.707</v>
      </c>
      <c r="T42" s="26"/>
      <c r="U42" s="26"/>
      <c r="V42" s="26"/>
      <c r="W42" s="26"/>
      <c r="X42" s="26"/>
      <c r="Y42" s="26"/>
      <c r="AA42" s="70"/>
      <c r="AB42" s="70"/>
      <c r="AC42" s="27"/>
    </row>
    <row r="43">
      <c r="A43" s="33">
        <v>-7.627</v>
      </c>
      <c r="B43" s="34">
        <v>10.461</v>
      </c>
      <c r="C43" s="34">
        <v>-11.989</v>
      </c>
      <c r="D43" s="34" t="s">
        <v>10</v>
      </c>
      <c r="E43" s="35">
        <v>-0.97</v>
      </c>
      <c r="F43" s="33">
        <v>3.903</v>
      </c>
      <c r="G43" s="34">
        <v>-15.605</v>
      </c>
      <c r="H43" s="34">
        <v>-4.233</v>
      </c>
      <c r="I43" s="34" t="s">
        <v>14</v>
      </c>
      <c r="J43" s="35">
        <v>-1.266</v>
      </c>
      <c r="K43" s="33">
        <v>-20.668</v>
      </c>
      <c r="L43" s="34">
        <v>2.547</v>
      </c>
      <c r="M43" s="34">
        <v>-5.642</v>
      </c>
      <c r="N43" s="34" t="s">
        <v>3</v>
      </c>
      <c r="O43" s="35">
        <v>-0.707</v>
      </c>
      <c r="T43" s="26"/>
      <c r="U43" s="26"/>
      <c r="V43" s="26"/>
      <c r="W43" s="26"/>
      <c r="X43" s="26"/>
      <c r="Y43" s="26"/>
      <c r="AA43" s="70"/>
      <c r="AB43" s="70"/>
      <c r="AC43" s="27"/>
    </row>
    <row r="44">
      <c r="A44" s="38">
        <v>-1.992</v>
      </c>
      <c r="B44" s="39">
        <v>-12.414</v>
      </c>
      <c r="C44" s="39">
        <v>23.074</v>
      </c>
      <c r="D44" s="40" t="s">
        <v>7</v>
      </c>
      <c r="E44" s="41">
        <v>-0.959</v>
      </c>
      <c r="F44" s="33">
        <v>4.114</v>
      </c>
      <c r="G44" s="34">
        <v>-20.385</v>
      </c>
      <c r="H44" s="34">
        <v>-8.945</v>
      </c>
      <c r="I44" s="34" t="s">
        <v>14</v>
      </c>
      <c r="J44" s="35">
        <v>-1.257</v>
      </c>
      <c r="K44" s="33">
        <v>9.132</v>
      </c>
      <c r="L44" s="34">
        <v>-22.19</v>
      </c>
      <c r="M44" s="34">
        <v>-9.591</v>
      </c>
      <c r="N44" s="34" t="s">
        <v>6</v>
      </c>
      <c r="O44" s="35">
        <v>-0.697</v>
      </c>
      <c r="T44" s="26"/>
      <c r="U44" s="26"/>
      <c r="V44" s="26"/>
      <c r="W44" s="26"/>
      <c r="X44" s="26"/>
      <c r="Y44" s="26"/>
      <c r="AA44" s="70"/>
      <c r="AB44" s="70"/>
      <c r="AC44" s="27"/>
    </row>
    <row r="45">
      <c r="A45" s="38">
        <v>9.852</v>
      </c>
      <c r="B45" s="39">
        <v>2.073</v>
      </c>
      <c r="C45" s="39">
        <v>14.553</v>
      </c>
      <c r="D45" s="40" t="s">
        <v>17</v>
      </c>
      <c r="E45" s="41">
        <v>-0.958</v>
      </c>
      <c r="F45" s="33">
        <v>-4.736</v>
      </c>
      <c r="G45" s="34">
        <v>14.135</v>
      </c>
      <c r="H45" s="34">
        <v>-3.168</v>
      </c>
      <c r="I45" s="34" t="s">
        <v>2</v>
      </c>
      <c r="J45" s="35">
        <v>-1.251</v>
      </c>
      <c r="K45" s="33">
        <v>-22.464</v>
      </c>
      <c r="L45" s="34">
        <v>11.104</v>
      </c>
      <c r="M45" s="34">
        <v>-3.641</v>
      </c>
      <c r="N45" s="34" t="s">
        <v>4</v>
      </c>
      <c r="O45" s="35">
        <v>-0.677</v>
      </c>
      <c r="T45" s="26"/>
      <c r="U45" s="26"/>
      <c r="V45" s="26"/>
      <c r="W45" s="26"/>
      <c r="X45" s="26"/>
      <c r="Y45" s="26"/>
      <c r="AA45" s="70"/>
      <c r="AB45" s="70"/>
      <c r="AC45" s="27"/>
    </row>
    <row r="46">
      <c r="A46" s="38">
        <v>-10.542</v>
      </c>
      <c r="B46" s="39">
        <v>-9.202</v>
      </c>
      <c r="C46" s="39">
        <v>-17.713</v>
      </c>
      <c r="D46" s="40" t="s">
        <v>5</v>
      </c>
      <c r="E46" s="41">
        <v>-0.954</v>
      </c>
      <c r="F46" s="33">
        <v>6.754</v>
      </c>
      <c r="G46" s="34">
        <v>16.575</v>
      </c>
      <c r="H46" s="34">
        <v>-1.404</v>
      </c>
      <c r="I46" s="34" t="s">
        <v>11</v>
      </c>
      <c r="J46" s="35">
        <v>-1.241</v>
      </c>
      <c r="K46" s="33">
        <v>6.867</v>
      </c>
      <c r="L46" s="34">
        <v>5.669</v>
      </c>
      <c r="M46" s="34">
        <v>6.054</v>
      </c>
      <c r="N46" s="34" t="s">
        <v>15</v>
      </c>
      <c r="O46" s="35">
        <v>-0.672</v>
      </c>
      <c r="T46" s="26"/>
      <c r="U46" s="26"/>
      <c r="V46" s="26"/>
      <c r="W46" s="26"/>
      <c r="X46" s="26"/>
      <c r="Y46" s="26"/>
      <c r="AA46" s="70"/>
      <c r="AB46" s="70"/>
      <c r="AC46" s="27"/>
    </row>
    <row r="47">
      <c r="A47" s="42">
        <v>-10.35</v>
      </c>
      <c r="B47" s="43">
        <v>-8.906</v>
      </c>
      <c r="C47" s="43">
        <v>-17.995</v>
      </c>
      <c r="D47" s="44" t="s">
        <v>8</v>
      </c>
      <c r="E47" s="45">
        <v>-0.952</v>
      </c>
      <c r="F47" s="46">
        <v>-16.513</v>
      </c>
      <c r="G47" s="47">
        <v>0.732</v>
      </c>
      <c r="H47" s="47">
        <v>1.683</v>
      </c>
      <c r="I47" s="47" t="s">
        <v>7</v>
      </c>
      <c r="J47" s="48">
        <v>-1.241</v>
      </c>
      <c r="K47" s="46">
        <v>9.186</v>
      </c>
      <c r="L47" s="47">
        <v>-26.355</v>
      </c>
      <c r="M47" s="47">
        <v>-3.003</v>
      </c>
      <c r="N47" s="47" t="s">
        <v>17</v>
      </c>
      <c r="O47" s="48">
        <v>-0.672</v>
      </c>
      <c r="T47" s="26"/>
      <c r="U47" s="26"/>
      <c r="V47" s="26"/>
      <c r="W47" s="26"/>
      <c r="X47" s="26"/>
      <c r="Y47" s="26"/>
      <c r="AA47" s="70"/>
      <c r="AB47" s="70"/>
      <c r="AC47" s="27"/>
    </row>
    <row r="48">
      <c r="A48" s="42">
        <v>-8.26</v>
      </c>
      <c r="B48" s="43">
        <v>-4.52</v>
      </c>
      <c r="C48" s="43">
        <v>8.763</v>
      </c>
      <c r="D48" s="44" t="s">
        <v>9</v>
      </c>
      <c r="E48" s="45">
        <v>-0.949</v>
      </c>
      <c r="F48" s="46">
        <v>3.336</v>
      </c>
      <c r="G48" s="47">
        <v>-17.797</v>
      </c>
      <c r="H48" s="47">
        <v>-8.645</v>
      </c>
      <c r="I48" s="47" t="s">
        <v>8</v>
      </c>
      <c r="J48" s="48">
        <v>-1.238</v>
      </c>
      <c r="K48" s="46">
        <v>-2.679</v>
      </c>
      <c r="L48" s="47">
        <v>-13.993</v>
      </c>
      <c r="M48" s="47">
        <v>22.234</v>
      </c>
      <c r="N48" s="47" t="s">
        <v>7</v>
      </c>
      <c r="O48" s="48">
        <v>-0.669</v>
      </c>
      <c r="T48" s="26"/>
      <c r="U48" s="26"/>
      <c r="V48" s="26"/>
      <c r="W48" s="26"/>
      <c r="X48" s="26"/>
      <c r="Y48" s="26"/>
      <c r="AA48" s="70"/>
      <c r="AB48" s="70"/>
      <c r="AC48" s="27"/>
    </row>
    <row r="49">
      <c r="A49" s="46">
        <v>7.547</v>
      </c>
      <c r="B49" s="47">
        <v>6.024</v>
      </c>
      <c r="C49" s="47">
        <v>5.348</v>
      </c>
      <c r="D49" s="47" t="s">
        <v>15</v>
      </c>
      <c r="E49" s="48">
        <v>-0.947</v>
      </c>
      <c r="F49" s="46">
        <v>-4.889</v>
      </c>
      <c r="G49" s="47">
        <v>14.487</v>
      </c>
      <c r="H49" s="47">
        <v>-2.526</v>
      </c>
      <c r="I49" s="47" t="s">
        <v>4</v>
      </c>
      <c r="J49" s="48">
        <v>-1.235</v>
      </c>
      <c r="K49" s="51">
        <v>-12.966</v>
      </c>
      <c r="L49" s="52">
        <v>-15.361</v>
      </c>
      <c r="M49" s="52">
        <v>-0.686</v>
      </c>
      <c r="N49" s="62" t="s">
        <v>20</v>
      </c>
      <c r="O49" s="63">
        <v>-0.661</v>
      </c>
      <c r="T49" s="26"/>
      <c r="U49" s="26"/>
      <c r="V49" s="26"/>
      <c r="W49" s="26"/>
      <c r="X49" s="26"/>
      <c r="Y49" s="26"/>
      <c r="AA49" s="70"/>
      <c r="AB49" s="70"/>
      <c r="AC49" s="27"/>
    </row>
    <row r="50">
      <c r="A50" s="46">
        <v>-1.767</v>
      </c>
      <c r="B50" s="47">
        <v>-9.107</v>
      </c>
      <c r="C50" s="47">
        <v>-19.996</v>
      </c>
      <c r="D50" s="47" t="s">
        <v>19</v>
      </c>
      <c r="E50" s="48">
        <v>-0.945</v>
      </c>
      <c r="F50" s="46">
        <v>7.124</v>
      </c>
      <c r="G50" s="47">
        <v>-7.962</v>
      </c>
      <c r="H50" s="47">
        <v>-8.86</v>
      </c>
      <c r="I50" s="47" t="s">
        <v>2</v>
      </c>
      <c r="J50" s="48">
        <v>-1.234</v>
      </c>
      <c r="K50" s="46">
        <v>-5.559</v>
      </c>
      <c r="L50" s="47">
        <v>3.075</v>
      </c>
      <c r="M50" s="47">
        <v>-18.654</v>
      </c>
      <c r="N50" s="47" t="s">
        <v>8</v>
      </c>
      <c r="O50" s="48">
        <v>-0.657</v>
      </c>
      <c r="T50" s="26"/>
      <c r="U50" s="26"/>
      <c r="V50" s="26"/>
      <c r="W50" s="26"/>
      <c r="X50" s="26"/>
      <c r="Y50" s="26"/>
      <c r="AA50" s="70"/>
      <c r="AB50" s="70"/>
      <c r="AC50" s="27"/>
    </row>
    <row r="51">
      <c r="A51" s="46">
        <v>-3.824</v>
      </c>
      <c r="B51" s="47">
        <v>-19.994</v>
      </c>
      <c r="C51" s="47">
        <v>2.07</v>
      </c>
      <c r="D51" s="47" t="s">
        <v>10</v>
      </c>
      <c r="E51" s="48">
        <v>-0.945</v>
      </c>
      <c r="F51" s="46">
        <v>-15.299</v>
      </c>
      <c r="G51" s="47">
        <v>0.736</v>
      </c>
      <c r="H51" s="47">
        <v>1.382</v>
      </c>
      <c r="I51" s="47" t="s">
        <v>14</v>
      </c>
      <c r="J51" s="48">
        <v>-1.234</v>
      </c>
      <c r="K51" s="46">
        <v>-6.344</v>
      </c>
      <c r="L51" s="47">
        <v>-5.185</v>
      </c>
      <c r="M51" s="47">
        <v>-5.173</v>
      </c>
      <c r="N51" s="47" t="s">
        <v>14</v>
      </c>
      <c r="O51" s="48">
        <v>-0.656</v>
      </c>
      <c r="T51" s="26"/>
      <c r="U51" s="26"/>
      <c r="V51" s="26"/>
      <c r="W51" s="26"/>
      <c r="X51" s="26"/>
      <c r="Y51" s="26"/>
      <c r="AA51" s="70"/>
      <c r="AB51" s="70"/>
      <c r="AC51" s="27"/>
    </row>
    <row r="52">
      <c r="A52" s="46">
        <v>-13.446</v>
      </c>
      <c r="B52" s="47">
        <v>0.749</v>
      </c>
      <c r="C52" s="47">
        <v>3.751</v>
      </c>
      <c r="D52" s="47" t="s">
        <v>5</v>
      </c>
      <c r="E52" s="48">
        <v>-0.938</v>
      </c>
      <c r="F52" s="46">
        <v>-11.669</v>
      </c>
      <c r="G52" s="47">
        <v>0.924</v>
      </c>
      <c r="H52" s="47">
        <v>-14.043</v>
      </c>
      <c r="I52" s="47" t="s">
        <v>11</v>
      </c>
      <c r="J52" s="48">
        <v>-1.228</v>
      </c>
      <c r="K52" s="46">
        <v>-8.244</v>
      </c>
      <c r="L52" s="47">
        <v>-4.744</v>
      </c>
      <c r="M52" s="47">
        <v>8.996</v>
      </c>
      <c r="N52" s="47" t="s">
        <v>10</v>
      </c>
      <c r="O52" s="48">
        <v>-0.652</v>
      </c>
      <c r="T52" s="26"/>
      <c r="U52" s="26"/>
      <c r="V52" s="26"/>
      <c r="W52" s="26"/>
      <c r="X52" s="26"/>
      <c r="Y52" s="26"/>
      <c r="AA52" s="70"/>
      <c r="AB52" s="70"/>
      <c r="AC52" s="27"/>
    </row>
    <row r="53">
      <c r="A53" s="46">
        <v>3.903</v>
      </c>
      <c r="B53" s="47">
        <v>-15.605</v>
      </c>
      <c r="C53" s="47">
        <v>-4.233</v>
      </c>
      <c r="D53" s="47" t="s">
        <v>14</v>
      </c>
      <c r="E53" s="48">
        <v>-0.936</v>
      </c>
      <c r="F53" s="46">
        <v>3.679</v>
      </c>
      <c r="G53" s="47">
        <v>-6.405</v>
      </c>
      <c r="H53" s="47">
        <v>-9.105</v>
      </c>
      <c r="I53" s="47" t="s">
        <v>2</v>
      </c>
      <c r="J53" s="48">
        <v>-1.227</v>
      </c>
      <c r="K53" s="46">
        <v>-10.654</v>
      </c>
      <c r="L53" s="47">
        <v>-9.273</v>
      </c>
      <c r="M53" s="47">
        <v>-17.874</v>
      </c>
      <c r="N53" s="47" t="s">
        <v>10</v>
      </c>
      <c r="O53" s="48">
        <v>-0.647</v>
      </c>
      <c r="T53" s="26"/>
      <c r="U53" s="26"/>
      <c r="V53" s="26"/>
      <c r="W53" s="26"/>
      <c r="X53" s="26"/>
      <c r="Y53" s="26"/>
      <c r="AA53" s="70"/>
      <c r="AB53" s="70"/>
      <c r="AC53" s="27"/>
    </row>
    <row r="54">
      <c r="A54" s="46">
        <v>-10.654</v>
      </c>
      <c r="B54" s="47">
        <v>-9.273</v>
      </c>
      <c r="C54" s="47">
        <v>-17.874</v>
      </c>
      <c r="D54" s="47" t="s">
        <v>10</v>
      </c>
      <c r="E54" s="48">
        <v>-0.933</v>
      </c>
      <c r="F54" s="46">
        <v>4.678</v>
      </c>
      <c r="G54" s="47">
        <v>-9.741</v>
      </c>
      <c r="H54" s="47">
        <v>-1.185</v>
      </c>
      <c r="I54" s="47" t="s">
        <v>2</v>
      </c>
      <c r="J54" s="48">
        <v>-1.225</v>
      </c>
      <c r="K54" s="46">
        <v>-7.036</v>
      </c>
      <c r="L54" s="47">
        <v>-13.66</v>
      </c>
      <c r="M54" s="47">
        <v>1.148</v>
      </c>
      <c r="N54" s="47" t="s">
        <v>17</v>
      </c>
      <c r="O54" s="48">
        <v>-0.642</v>
      </c>
      <c r="T54" s="26"/>
      <c r="U54" s="26"/>
      <c r="V54" s="26"/>
      <c r="W54" s="26"/>
      <c r="X54" s="26"/>
      <c r="Y54" s="26"/>
      <c r="AA54" s="70"/>
      <c r="AB54" s="70"/>
      <c r="AC54" s="27"/>
    </row>
    <row r="55">
      <c r="A55" s="46">
        <v>-5.088</v>
      </c>
      <c r="B55" s="47">
        <v>4.962</v>
      </c>
      <c r="C55" s="47">
        <v>7.553</v>
      </c>
      <c r="D55" s="47" t="s">
        <v>10</v>
      </c>
      <c r="E55" s="48">
        <v>-0.932</v>
      </c>
      <c r="F55" s="46">
        <v>6.303</v>
      </c>
      <c r="G55" s="47">
        <v>-8.253</v>
      </c>
      <c r="H55" s="47">
        <v>-11.626</v>
      </c>
      <c r="I55" s="47" t="s">
        <v>11</v>
      </c>
      <c r="J55" s="48">
        <v>-1.225</v>
      </c>
      <c r="K55" s="46">
        <v>9.852</v>
      </c>
      <c r="L55" s="47">
        <v>2.073</v>
      </c>
      <c r="M55" s="47">
        <v>14.553</v>
      </c>
      <c r="N55" s="47" t="s">
        <v>17</v>
      </c>
      <c r="O55" s="48">
        <v>-0.637</v>
      </c>
      <c r="T55" s="26"/>
      <c r="U55" s="26"/>
      <c r="V55" s="26"/>
      <c r="W55" s="26"/>
      <c r="X55" s="26"/>
      <c r="Y55" s="26"/>
      <c r="AA55" s="70"/>
      <c r="AB55" s="70"/>
      <c r="AC55" s="27"/>
    </row>
    <row r="56">
      <c r="A56" s="46">
        <v>10.069</v>
      </c>
      <c r="B56" s="47">
        <v>1.931</v>
      </c>
      <c r="C56" s="47">
        <v>14.63</v>
      </c>
      <c r="D56" s="47" t="s">
        <v>19</v>
      </c>
      <c r="E56" s="48">
        <v>-0.932</v>
      </c>
      <c r="F56" s="46">
        <v>12.878</v>
      </c>
      <c r="G56" s="47">
        <v>-4.388</v>
      </c>
      <c r="H56" s="47">
        <v>0.359</v>
      </c>
      <c r="I56" s="47" t="s">
        <v>10</v>
      </c>
      <c r="J56" s="48">
        <v>-1.225</v>
      </c>
      <c r="K56" s="46">
        <v>-10.86</v>
      </c>
      <c r="L56" s="47">
        <v>-11.45</v>
      </c>
      <c r="M56" s="47">
        <v>14.625</v>
      </c>
      <c r="N56" s="47" t="s">
        <v>5</v>
      </c>
      <c r="O56" s="48">
        <v>-0.635</v>
      </c>
      <c r="T56" s="26"/>
      <c r="U56" s="26"/>
      <c r="V56" s="26"/>
      <c r="W56" s="26"/>
      <c r="X56" s="26"/>
      <c r="Y56" s="26"/>
      <c r="AA56" s="70"/>
      <c r="AB56" s="70"/>
      <c r="AC56" s="27"/>
    </row>
    <row r="57">
      <c r="A57" s="46">
        <v>8.173</v>
      </c>
      <c r="B57" s="47">
        <v>12.903</v>
      </c>
      <c r="C57" s="47">
        <v>8.209</v>
      </c>
      <c r="D57" s="47" t="s">
        <v>6</v>
      </c>
      <c r="E57" s="48">
        <v>-0.932</v>
      </c>
      <c r="F57" s="46">
        <v>-10.654</v>
      </c>
      <c r="G57" s="47">
        <v>-9.273</v>
      </c>
      <c r="H57" s="47">
        <v>-17.874</v>
      </c>
      <c r="I57" s="47" t="s">
        <v>10</v>
      </c>
      <c r="J57" s="48">
        <v>-1.224</v>
      </c>
      <c r="K57" s="46">
        <v>-10.771</v>
      </c>
      <c r="L57" s="47">
        <v>-9.706</v>
      </c>
      <c r="M57" s="47">
        <v>-17.775</v>
      </c>
      <c r="N57" s="47" t="s">
        <v>5</v>
      </c>
      <c r="O57" s="48">
        <v>-0.63</v>
      </c>
      <c r="T57" s="26"/>
      <c r="U57" s="26"/>
      <c r="V57" s="26"/>
      <c r="W57" s="26"/>
      <c r="X57" s="26"/>
      <c r="Y57" s="26"/>
      <c r="AA57" s="70"/>
      <c r="AB57" s="70"/>
      <c r="AC57" s="27"/>
    </row>
    <row r="58">
      <c r="A58" s="46">
        <v>-0.884</v>
      </c>
      <c r="B58" s="47">
        <v>19.574</v>
      </c>
      <c r="C58" s="47">
        <v>9.659</v>
      </c>
      <c r="D58" s="47" t="s">
        <v>12</v>
      </c>
      <c r="E58" s="48">
        <v>-0.927</v>
      </c>
      <c r="F58" s="46">
        <v>11.959</v>
      </c>
      <c r="G58" s="47">
        <v>-3.526</v>
      </c>
      <c r="H58" s="47">
        <v>1.656</v>
      </c>
      <c r="I58" s="47" t="s">
        <v>5</v>
      </c>
      <c r="J58" s="48">
        <v>-1.223</v>
      </c>
      <c r="K58" s="46">
        <v>-3.823</v>
      </c>
      <c r="L58" s="47">
        <v>1.941</v>
      </c>
      <c r="M58" s="47">
        <v>-15.381</v>
      </c>
      <c r="N58" s="47" t="s">
        <v>8</v>
      </c>
      <c r="O58" s="48">
        <v>-0.629</v>
      </c>
      <c r="T58" s="26"/>
      <c r="U58" s="26"/>
      <c r="V58" s="26"/>
      <c r="W58" s="26"/>
      <c r="X58" s="26"/>
      <c r="Y58" s="26"/>
      <c r="AA58" s="70"/>
      <c r="AB58" s="70"/>
      <c r="AC58" s="27"/>
    </row>
    <row r="59">
      <c r="A59" s="46">
        <v>4.565</v>
      </c>
      <c r="B59" s="47">
        <v>-4.018</v>
      </c>
      <c r="C59" s="47">
        <v>-7.268</v>
      </c>
      <c r="D59" s="47" t="s">
        <v>23</v>
      </c>
      <c r="E59" s="48">
        <v>-0.924</v>
      </c>
      <c r="F59" s="46">
        <v>-10.515</v>
      </c>
      <c r="G59" s="47">
        <v>-10.882</v>
      </c>
      <c r="H59" s="47">
        <v>13.346</v>
      </c>
      <c r="I59" s="47" t="s">
        <v>6</v>
      </c>
      <c r="J59" s="48">
        <v>-1.221</v>
      </c>
      <c r="K59" s="56">
        <v>-7.433</v>
      </c>
      <c r="L59" s="57">
        <v>3.09</v>
      </c>
      <c r="M59" s="57">
        <v>17.358</v>
      </c>
      <c r="N59" s="57" t="s">
        <v>7</v>
      </c>
      <c r="O59" s="58">
        <v>-0.627</v>
      </c>
      <c r="T59" s="26"/>
      <c r="U59" s="26"/>
      <c r="V59" s="26"/>
      <c r="W59" s="26"/>
      <c r="X59" s="26"/>
      <c r="Y59" s="26"/>
      <c r="AA59" s="70"/>
      <c r="AB59" s="70"/>
      <c r="AC59" s="27"/>
    </row>
    <row r="60">
      <c r="A60" s="46">
        <v>3.67</v>
      </c>
      <c r="B60" s="47">
        <v>-6.416</v>
      </c>
      <c r="C60" s="47">
        <v>-9.643</v>
      </c>
      <c r="D60" s="47" t="s">
        <v>2</v>
      </c>
      <c r="E60" s="48">
        <v>-0.924</v>
      </c>
      <c r="F60" s="46">
        <v>2.394</v>
      </c>
      <c r="G60" s="47">
        <v>-9.273</v>
      </c>
      <c r="H60" s="47">
        <v>0.931</v>
      </c>
      <c r="I60" s="47" t="s">
        <v>18</v>
      </c>
      <c r="J60" s="48">
        <v>-1.22</v>
      </c>
      <c r="K60" s="56">
        <v>-10.325</v>
      </c>
      <c r="L60" s="57">
        <v>-0.914</v>
      </c>
      <c r="M60" s="57">
        <v>-14.001</v>
      </c>
      <c r="N60" s="57" t="s">
        <v>11</v>
      </c>
      <c r="O60" s="58">
        <v>-0.626</v>
      </c>
      <c r="T60" s="26"/>
      <c r="U60" s="26"/>
      <c r="V60" s="26"/>
      <c r="W60" s="26"/>
      <c r="X60" s="26"/>
      <c r="Y60" s="26"/>
      <c r="AA60" s="70"/>
      <c r="AB60" s="70"/>
      <c r="AC60" s="27"/>
    </row>
    <row r="61">
      <c r="A61" s="46">
        <v>6.754</v>
      </c>
      <c r="B61" s="47">
        <v>16.575</v>
      </c>
      <c r="C61" s="47">
        <v>-1.404</v>
      </c>
      <c r="D61" s="47" t="s">
        <v>11</v>
      </c>
      <c r="E61" s="48">
        <v>-0.921</v>
      </c>
      <c r="F61" s="46">
        <v>-5.088</v>
      </c>
      <c r="G61" s="47">
        <v>4.962</v>
      </c>
      <c r="H61" s="47">
        <v>7.553</v>
      </c>
      <c r="I61" s="47" t="s">
        <v>10</v>
      </c>
      <c r="J61" s="48">
        <v>-1.215</v>
      </c>
      <c r="K61" s="56">
        <v>2.572</v>
      </c>
      <c r="L61" s="57">
        <v>3.604</v>
      </c>
      <c r="M61" s="57">
        <v>-16.756</v>
      </c>
      <c r="N61" s="57" t="s">
        <v>9</v>
      </c>
      <c r="O61" s="58">
        <v>-0.626</v>
      </c>
      <c r="T61" s="26"/>
      <c r="U61" s="26"/>
      <c r="V61" s="26"/>
      <c r="W61" s="26"/>
      <c r="X61" s="26"/>
      <c r="Y61" s="26"/>
      <c r="AA61" s="70"/>
      <c r="AB61" s="70"/>
      <c r="AC61" s="27"/>
    </row>
    <row r="62">
      <c r="A62" s="46">
        <v>-15.299</v>
      </c>
      <c r="B62" s="47">
        <v>0.736</v>
      </c>
      <c r="C62" s="47">
        <v>1.382</v>
      </c>
      <c r="D62" s="47" t="s">
        <v>14</v>
      </c>
      <c r="E62" s="48">
        <v>-0.92</v>
      </c>
      <c r="F62" s="46">
        <v>-11.351</v>
      </c>
      <c r="G62" s="47">
        <v>-0.206</v>
      </c>
      <c r="H62" s="47">
        <v>21.045</v>
      </c>
      <c r="I62" s="47" t="s">
        <v>10</v>
      </c>
      <c r="J62" s="48">
        <v>-1.212</v>
      </c>
      <c r="K62" s="56">
        <v>9.688</v>
      </c>
      <c r="L62" s="57">
        <v>-22.47</v>
      </c>
      <c r="M62" s="57">
        <v>-8.732</v>
      </c>
      <c r="N62" s="57" t="s">
        <v>14</v>
      </c>
      <c r="O62" s="58">
        <v>-0.624</v>
      </c>
      <c r="T62" s="26"/>
      <c r="U62" s="26"/>
      <c r="V62" s="26"/>
      <c r="W62" s="26"/>
      <c r="X62" s="26"/>
      <c r="Y62" s="26"/>
      <c r="AA62" s="70"/>
      <c r="AB62" s="70"/>
      <c r="AC62" s="27"/>
    </row>
    <row r="63">
      <c r="A63" s="46">
        <v>4.069</v>
      </c>
      <c r="B63" s="47">
        <v>-15.541</v>
      </c>
      <c r="C63" s="47">
        <v>-4.542</v>
      </c>
      <c r="D63" s="47" t="s">
        <v>14</v>
      </c>
      <c r="E63" s="48">
        <v>-0.919</v>
      </c>
      <c r="F63" s="46">
        <v>-11.198</v>
      </c>
      <c r="G63" s="47">
        <v>-2.757</v>
      </c>
      <c r="H63" s="47">
        <v>-8.334</v>
      </c>
      <c r="I63" s="47" t="s">
        <v>8</v>
      </c>
      <c r="J63" s="48">
        <v>-1.211</v>
      </c>
      <c r="K63" s="46">
        <v>0.042</v>
      </c>
      <c r="L63" s="47">
        <v>2.672</v>
      </c>
      <c r="M63" s="47">
        <v>-21.712</v>
      </c>
      <c r="N63" s="47" t="s">
        <v>4</v>
      </c>
      <c r="O63" s="48">
        <v>-0.619</v>
      </c>
      <c r="T63" s="26"/>
      <c r="U63" s="26"/>
      <c r="V63" s="26"/>
      <c r="W63" s="26"/>
      <c r="X63" s="26"/>
      <c r="Y63" s="26"/>
      <c r="AA63" s="70"/>
      <c r="AB63" s="70"/>
      <c r="AC63" s="27"/>
    </row>
    <row r="64">
      <c r="A64" s="46">
        <v>-15.478</v>
      </c>
      <c r="B64" s="47">
        <v>0.758</v>
      </c>
      <c r="C64" s="47">
        <v>1.416</v>
      </c>
      <c r="D64" s="47" t="s">
        <v>7</v>
      </c>
      <c r="E64" s="48">
        <v>-0.918</v>
      </c>
      <c r="F64" s="46">
        <v>10.069</v>
      </c>
      <c r="G64" s="47">
        <v>1.931</v>
      </c>
      <c r="H64" s="47">
        <v>14.63</v>
      </c>
      <c r="I64" s="47" t="s">
        <v>19</v>
      </c>
      <c r="J64" s="48">
        <v>-1.21</v>
      </c>
      <c r="K64" s="46">
        <v>-9.466</v>
      </c>
      <c r="L64" s="47">
        <v>-25.767</v>
      </c>
      <c r="M64" s="47">
        <v>-7.24</v>
      </c>
      <c r="N64" s="47" t="s">
        <v>7</v>
      </c>
      <c r="O64" s="48">
        <v>-0.618</v>
      </c>
      <c r="T64" s="26"/>
      <c r="U64" s="26"/>
      <c r="V64" s="26"/>
      <c r="W64" s="26"/>
      <c r="X64" s="26"/>
      <c r="Y64" s="26"/>
      <c r="AA64" s="70"/>
      <c r="AB64" s="70"/>
      <c r="AC64" s="27"/>
    </row>
    <row r="65">
      <c r="A65" s="46">
        <v>12.411</v>
      </c>
      <c r="B65" s="47">
        <v>-4.481</v>
      </c>
      <c r="C65" s="47">
        <v>0.0</v>
      </c>
      <c r="D65" s="47" t="s">
        <v>10</v>
      </c>
      <c r="E65" s="48">
        <v>-0.917</v>
      </c>
      <c r="F65" s="46">
        <v>1.482</v>
      </c>
      <c r="G65" s="47">
        <v>-3.814</v>
      </c>
      <c r="H65" s="47">
        <v>-9.893</v>
      </c>
      <c r="I65" s="47" t="s">
        <v>23</v>
      </c>
      <c r="J65" s="48">
        <v>-1.209</v>
      </c>
      <c r="K65" s="46">
        <v>1.755</v>
      </c>
      <c r="L65" s="47">
        <v>-14.64</v>
      </c>
      <c r="M65" s="47">
        <v>1.493</v>
      </c>
      <c r="N65" s="47" t="s">
        <v>2</v>
      </c>
      <c r="O65" s="48">
        <v>-0.616</v>
      </c>
      <c r="T65" s="26"/>
      <c r="U65" s="26"/>
      <c r="V65" s="26"/>
      <c r="W65" s="26"/>
      <c r="X65" s="26"/>
      <c r="Y65" s="26"/>
      <c r="AA65" s="70"/>
      <c r="AB65" s="70"/>
      <c r="AC65" s="27"/>
    </row>
    <row r="66">
      <c r="A66" s="59">
        <v>-4.889</v>
      </c>
      <c r="B66" s="60">
        <v>14.487</v>
      </c>
      <c r="C66" s="60">
        <v>-2.526</v>
      </c>
      <c r="D66" s="60" t="s">
        <v>4</v>
      </c>
      <c r="E66" s="61">
        <v>-0.916</v>
      </c>
      <c r="F66" s="59">
        <v>-13.88</v>
      </c>
      <c r="G66" s="60">
        <v>0.345</v>
      </c>
      <c r="H66" s="60">
        <v>3.891</v>
      </c>
      <c r="I66" s="60" t="s">
        <v>5</v>
      </c>
      <c r="J66" s="61">
        <v>-1.208</v>
      </c>
      <c r="K66" s="59">
        <v>6.754</v>
      </c>
      <c r="L66" s="60">
        <v>16.575</v>
      </c>
      <c r="M66" s="60">
        <v>-1.404</v>
      </c>
      <c r="N66" s="60" t="s">
        <v>11</v>
      </c>
      <c r="O66" s="61">
        <v>-0.61</v>
      </c>
      <c r="T66" s="26"/>
      <c r="U66" s="26"/>
      <c r="V66" s="26"/>
      <c r="W66" s="26"/>
      <c r="X66" s="26"/>
      <c r="Y66" s="26"/>
      <c r="AA66" s="70"/>
      <c r="AB66" s="70"/>
      <c r="AC66" s="27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T67" s="26"/>
      <c r="U67" s="26"/>
      <c r="V67" s="26"/>
      <c r="W67" s="26"/>
      <c r="X67" s="26"/>
      <c r="Y67" s="26"/>
      <c r="AA67" s="70"/>
      <c r="AB67" s="70"/>
      <c r="AC67" s="27"/>
    </row>
    <row r="68">
      <c r="A68" s="65" t="s">
        <v>47</v>
      </c>
      <c r="B68" s="66"/>
      <c r="C68" s="67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T68" s="26"/>
      <c r="U68" s="26"/>
      <c r="V68" s="26"/>
      <c r="W68" s="26"/>
      <c r="X68" s="26"/>
      <c r="Y68" s="26"/>
      <c r="AA68" s="70"/>
      <c r="AB68" s="70"/>
      <c r="AC68" s="27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T69" s="26"/>
      <c r="U69" s="26"/>
      <c r="V69" s="26"/>
      <c r="W69" s="26"/>
      <c r="X69" s="26"/>
      <c r="Y69" s="26"/>
      <c r="AA69" s="70"/>
      <c r="AB69" s="70"/>
      <c r="AC69" s="27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T70" s="26"/>
      <c r="U70" s="26"/>
      <c r="V70" s="26"/>
      <c r="W70" s="26"/>
      <c r="X70" s="26"/>
      <c r="Y70" s="26"/>
      <c r="AA70" s="70"/>
      <c r="AB70" s="70"/>
      <c r="AC70" s="27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T71" s="26"/>
      <c r="U71" s="26"/>
      <c r="V71" s="26"/>
      <c r="W71" s="26"/>
      <c r="X71" s="26"/>
      <c r="Y71" s="26"/>
      <c r="AA71" s="70"/>
      <c r="AB71" s="70"/>
      <c r="AC71" s="27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T72" s="26"/>
      <c r="U72" s="26"/>
      <c r="V72" s="26"/>
      <c r="W72" s="26"/>
      <c r="X72" s="26"/>
      <c r="Y72" s="26"/>
      <c r="AA72" s="70"/>
      <c r="AB72" s="70"/>
      <c r="AC72" s="27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T73" s="26"/>
      <c r="U73" s="26"/>
      <c r="V73" s="26"/>
      <c r="W73" s="26"/>
      <c r="X73" s="26"/>
      <c r="Y73" s="26"/>
      <c r="AA73" s="70"/>
      <c r="AB73" s="70"/>
      <c r="AC73" s="27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T74" s="26"/>
      <c r="U74" s="26"/>
      <c r="V74" s="26"/>
      <c r="W74" s="26"/>
      <c r="X74" s="26"/>
      <c r="Y74" s="26"/>
      <c r="AA74" s="70"/>
      <c r="AB74" s="70"/>
      <c r="AC74" s="27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T75" s="26"/>
      <c r="U75" s="26"/>
      <c r="V75" s="26"/>
      <c r="W75" s="26"/>
      <c r="X75" s="26"/>
      <c r="Y75" s="26"/>
      <c r="AA75" s="70"/>
      <c r="AB75" s="70"/>
      <c r="AC75" s="27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T76" s="26"/>
      <c r="U76" s="26"/>
      <c r="V76" s="26"/>
      <c r="W76" s="26"/>
      <c r="X76" s="26"/>
      <c r="Y76" s="26"/>
      <c r="AA76" s="70"/>
      <c r="AB76" s="70"/>
      <c r="AC76" s="27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T77" s="26"/>
      <c r="U77" s="26"/>
      <c r="V77" s="26"/>
      <c r="W77" s="26"/>
      <c r="X77" s="26"/>
      <c r="Y77" s="26"/>
      <c r="AA77" s="70"/>
      <c r="AB77" s="70"/>
      <c r="AC77" s="27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T78" s="26"/>
      <c r="U78" s="26"/>
      <c r="V78" s="26"/>
      <c r="W78" s="26"/>
      <c r="X78" s="26"/>
      <c r="Y78" s="26"/>
      <c r="AA78" s="70"/>
      <c r="AB78" s="70"/>
      <c r="AC78" s="27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T79" s="26"/>
      <c r="U79" s="26"/>
      <c r="V79" s="26"/>
      <c r="W79" s="26"/>
      <c r="X79" s="26"/>
      <c r="Y79" s="26"/>
      <c r="AA79" s="70"/>
      <c r="AB79" s="70"/>
      <c r="AC79" s="27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T80" s="26"/>
      <c r="U80" s="26"/>
      <c r="V80" s="26"/>
      <c r="W80" s="26"/>
      <c r="X80" s="26"/>
      <c r="Y80" s="26"/>
      <c r="AA80" s="70"/>
      <c r="AB80" s="70"/>
      <c r="AC80" s="27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T81" s="26"/>
      <c r="U81" s="26"/>
      <c r="V81" s="26"/>
      <c r="W81" s="26"/>
      <c r="X81" s="26"/>
      <c r="Y81" s="26"/>
      <c r="AA81" s="70"/>
      <c r="AB81" s="70"/>
      <c r="AC81" s="27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T82" s="26"/>
      <c r="U82" s="26"/>
      <c r="V82" s="26"/>
      <c r="W82" s="26"/>
      <c r="X82" s="26"/>
      <c r="Y82" s="26"/>
      <c r="AA82" s="70"/>
      <c r="AB82" s="70"/>
      <c r="AC82" s="27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T83" s="26"/>
      <c r="U83" s="26"/>
      <c r="V83" s="26"/>
      <c r="W83" s="26"/>
      <c r="X83" s="26"/>
      <c r="Y83" s="26"/>
      <c r="AA83" s="70"/>
      <c r="AB83" s="70"/>
      <c r="AC83" s="27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T84" s="26"/>
      <c r="U84" s="26"/>
      <c r="V84" s="26"/>
      <c r="W84" s="26"/>
      <c r="X84" s="26"/>
      <c r="Y84" s="26"/>
      <c r="AA84" s="70"/>
      <c r="AB84" s="70"/>
      <c r="AC84" s="27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T85" s="26"/>
      <c r="U85" s="26"/>
      <c r="V85" s="26"/>
      <c r="W85" s="26"/>
      <c r="X85" s="26"/>
      <c r="Y85" s="26"/>
      <c r="AA85" s="70"/>
      <c r="AB85" s="70"/>
      <c r="AC85" s="27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T86" s="26"/>
      <c r="U86" s="26"/>
      <c r="V86" s="26"/>
      <c r="W86" s="26"/>
      <c r="X86" s="26"/>
      <c r="Y86" s="26"/>
      <c r="AA86" s="70"/>
      <c r="AB86" s="70"/>
      <c r="AC86" s="27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T87" s="26"/>
      <c r="U87" s="26"/>
      <c r="V87" s="26"/>
      <c r="W87" s="26"/>
      <c r="X87" s="26"/>
      <c r="Y87" s="26"/>
      <c r="AA87" s="70"/>
      <c r="AB87" s="70"/>
      <c r="AC87" s="27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T88" s="26"/>
      <c r="U88" s="26"/>
      <c r="V88" s="26"/>
      <c r="W88" s="26"/>
      <c r="X88" s="26"/>
      <c r="Y88" s="26"/>
      <c r="AA88" s="70"/>
      <c r="AB88" s="70"/>
      <c r="AC88" s="27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T89" s="26"/>
      <c r="U89" s="26"/>
      <c r="V89" s="26"/>
      <c r="W89" s="26"/>
      <c r="X89" s="26"/>
      <c r="Y89" s="26"/>
      <c r="AA89" s="70"/>
      <c r="AB89" s="70"/>
      <c r="AC89" s="27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T90" s="26"/>
      <c r="U90" s="26"/>
      <c r="V90" s="26"/>
      <c r="W90" s="26"/>
      <c r="X90" s="26"/>
      <c r="Y90" s="26"/>
      <c r="AA90" s="70"/>
      <c r="AB90" s="70"/>
      <c r="AC90" s="27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T91" s="26"/>
      <c r="U91" s="26"/>
      <c r="V91" s="26"/>
      <c r="W91" s="26"/>
      <c r="X91" s="26"/>
      <c r="Y91" s="26"/>
      <c r="AA91" s="70"/>
      <c r="AB91" s="70"/>
      <c r="AC91" s="27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T92" s="26"/>
      <c r="U92" s="26"/>
      <c r="V92" s="26"/>
      <c r="W92" s="26"/>
      <c r="X92" s="26"/>
      <c r="Y92" s="26"/>
      <c r="AA92" s="70"/>
      <c r="AB92" s="70"/>
      <c r="AC92" s="27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T93" s="26"/>
      <c r="U93" s="26"/>
      <c r="V93" s="26"/>
      <c r="W93" s="26"/>
      <c r="X93" s="26"/>
      <c r="Y93" s="26"/>
      <c r="AA93" s="70"/>
      <c r="AB93" s="70"/>
      <c r="AC93" s="27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T94" s="26"/>
      <c r="U94" s="26"/>
      <c r="V94" s="26"/>
      <c r="W94" s="26"/>
      <c r="X94" s="26"/>
      <c r="Y94" s="26"/>
      <c r="AA94" s="70"/>
      <c r="AB94" s="70"/>
      <c r="AC94" s="27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T95" s="26"/>
      <c r="U95" s="26"/>
      <c r="V95" s="26"/>
      <c r="W95" s="26"/>
      <c r="X95" s="26"/>
      <c r="Y95" s="26"/>
      <c r="AA95" s="70"/>
      <c r="AB95" s="70"/>
      <c r="AC95" s="27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T96" s="26"/>
      <c r="U96" s="26"/>
      <c r="V96" s="26"/>
      <c r="W96" s="26"/>
      <c r="X96" s="26"/>
      <c r="Y96" s="26"/>
      <c r="AA96" s="70"/>
      <c r="AB96" s="70"/>
      <c r="AC96" s="27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T97" s="26"/>
      <c r="U97" s="26"/>
      <c r="V97" s="26"/>
      <c r="W97" s="26"/>
      <c r="X97" s="26"/>
      <c r="Y97" s="26"/>
      <c r="AA97" s="70"/>
      <c r="AB97" s="70"/>
      <c r="AC97" s="27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T98" s="26"/>
      <c r="U98" s="26"/>
      <c r="V98" s="26"/>
      <c r="W98" s="26"/>
      <c r="X98" s="26"/>
      <c r="Y98" s="26"/>
      <c r="AA98" s="70"/>
      <c r="AB98" s="70"/>
      <c r="AC98" s="27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T99" s="26"/>
      <c r="U99" s="26"/>
      <c r="V99" s="26"/>
      <c r="W99" s="26"/>
      <c r="X99" s="26"/>
      <c r="Y99" s="26"/>
      <c r="AA99" s="70"/>
      <c r="AB99" s="70"/>
      <c r="AC99" s="27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T100" s="26"/>
      <c r="U100" s="26"/>
      <c r="V100" s="26"/>
      <c r="W100" s="26"/>
      <c r="X100" s="26"/>
      <c r="Y100" s="26"/>
      <c r="AA100" s="70"/>
      <c r="AB100" s="70"/>
      <c r="AC100" s="27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T101" s="26"/>
      <c r="U101" s="26"/>
      <c r="V101" s="26"/>
      <c r="W101" s="26"/>
      <c r="X101" s="26"/>
      <c r="Y101" s="26"/>
      <c r="AA101" s="70"/>
      <c r="AB101" s="70"/>
      <c r="AC101" s="27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T102" s="26"/>
      <c r="U102" s="26"/>
      <c r="V102" s="26"/>
      <c r="W102" s="26"/>
      <c r="X102" s="26"/>
      <c r="Y102" s="26"/>
      <c r="AA102" s="70"/>
      <c r="AB102" s="70"/>
      <c r="AC102" s="27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T103" s="26"/>
      <c r="U103" s="26"/>
      <c r="V103" s="26"/>
      <c r="W103" s="26"/>
      <c r="X103" s="26"/>
      <c r="Y103" s="26"/>
      <c r="AA103" s="70"/>
      <c r="AB103" s="70"/>
      <c r="AC103" s="27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T104" s="26"/>
      <c r="U104" s="26"/>
      <c r="V104" s="26"/>
      <c r="W104" s="26"/>
      <c r="X104" s="26"/>
      <c r="Y104" s="26"/>
      <c r="AA104" s="70"/>
      <c r="AB104" s="70"/>
      <c r="AC104" s="27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T105" s="26"/>
      <c r="U105" s="26"/>
      <c r="V105" s="26"/>
      <c r="W105" s="26"/>
      <c r="X105" s="26"/>
      <c r="Y105" s="26"/>
      <c r="AA105" s="70"/>
      <c r="AB105" s="70"/>
      <c r="AC105" s="27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T106" s="26"/>
      <c r="U106" s="26"/>
      <c r="V106" s="26"/>
      <c r="W106" s="26"/>
      <c r="X106" s="26"/>
      <c r="Y106" s="26"/>
      <c r="AA106" s="70"/>
      <c r="AB106" s="70"/>
      <c r="AC106" s="27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T107" s="26"/>
      <c r="U107" s="26"/>
      <c r="V107" s="26"/>
      <c r="W107" s="26"/>
      <c r="X107" s="26"/>
      <c r="Y107" s="26"/>
      <c r="AA107" s="70"/>
      <c r="AB107" s="70"/>
      <c r="AC107" s="27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T108" s="26"/>
      <c r="U108" s="26"/>
      <c r="V108" s="26"/>
      <c r="W108" s="26"/>
      <c r="X108" s="26"/>
      <c r="Y108" s="26"/>
      <c r="AA108" s="70"/>
      <c r="AB108" s="70"/>
      <c r="AC108" s="27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T109" s="26"/>
      <c r="U109" s="26"/>
      <c r="V109" s="26"/>
      <c r="W109" s="26"/>
      <c r="X109" s="26"/>
      <c r="Y109" s="26"/>
      <c r="AA109" s="70"/>
      <c r="AB109" s="70"/>
      <c r="AC109" s="27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T110" s="26"/>
      <c r="U110" s="26"/>
      <c r="V110" s="26"/>
      <c r="W110" s="26"/>
      <c r="X110" s="26"/>
      <c r="Y110" s="26"/>
      <c r="AA110" s="70"/>
      <c r="AB110" s="70"/>
      <c r="AC110" s="27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T111" s="26"/>
      <c r="U111" s="26"/>
      <c r="V111" s="26"/>
      <c r="W111" s="26"/>
      <c r="X111" s="26"/>
      <c r="Y111" s="26"/>
      <c r="AA111" s="70"/>
      <c r="AB111" s="70"/>
      <c r="AC111" s="27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T112" s="26"/>
      <c r="U112" s="26"/>
      <c r="V112" s="26"/>
      <c r="W112" s="26"/>
      <c r="X112" s="26"/>
      <c r="Y112" s="26"/>
      <c r="AA112" s="70"/>
      <c r="AB112" s="70"/>
      <c r="AC112" s="27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T113" s="26"/>
      <c r="U113" s="26"/>
      <c r="V113" s="26"/>
      <c r="W113" s="26"/>
      <c r="X113" s="26"/>
      <c r="Y113" s="26"/>
      <c r="AA113" s="70"/>
      <c r="AB113" s="70"/>
      <c r="AC113" s="27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T114" s="26"/>
      <c r="U114" s="26"/>
      <c r="V114" s="26"/>
      <c r="W114" s="26"/>
      <c r="X114" s="26"/>
      <c r="Y114" s="26"/>
      <c r="AA114" s="70"/>
      <c r="AB114" s="70"/>
      <c r="AC114" s="27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T115" s="26"/>
      <c r="U115" s="26"/>
      <c r="V115" s="26"/>
      <c r="W115" s="26"/>
      <c r="X115" s="26"/>
      <c r="Y115" s="26"/>
      <c r="AA115" s="70"/>
      <c r="AB115" s="70"/>
      <c r="AC115" s="27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T116" s="26"/>
      <c r="U116" s="26"/>
      <c r="V116" s="26"/>
      <c r="W116" s="26"/>
      <c r="X116" s="26"/>
      <c r="Y116" s="26"/>
      <c r="AA116" s="70"/>
      <c r="AB116" s="70"/>
      <c r="AC116" s="27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T117" s="26"/>
      <c r="U117" s="26"/>
      <c r="V117" s="26"/>
      <c r="W117" s="26"/>
      <c r="X117" s="26"/>
      <c r="Y117" s="26"/>
      <c r="AA117" s="70"/>
      <c r="AB117" s="70"/>
      <c r="AC117" s="27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T118" s="26"/>
      <c r="U118" s="26"/>
      <c r="V118" s="26"/>
      <c r="W118" s="26"/>
      <c r="X118" s="26"/>
      <c r="Y118" s="26"/>
      <c r="AA118" s="70"/>
      <c r="AB118" s="70"/>
      <c r="AC118" s="27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T119" s="26"/>
      <c r="U119" s="26"/>
      <c r="V119" s="26"/>
      <c r="W119" s="26"/>
      <c r="X119" s="26"/>
      <c r="Y119" s="26"/>
      <c r="AA119" s="70"/>
      <c r="AB119" s="70"/>
      <c r="AC119" s="27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T120" s="26"/>
      <c r="U120" s="26"/>
      <c r="V120" s="26"/>
      <c r="W120" s="26"/>
      <c r="X120" s="26"/>
      <c r="Y120" s="26"/>
      <c r="AA120" s="70"/>
      <c r="AB120" s="70"/>
      <c r="AC120" s="27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T121" s="26"/>
      <c r="U121" s="26"/>
      <c r="V121" s="26"/>
      <c r="W121" s="26"/>
      <c r="X121" s="26"/>
      <c r="Y121" s="26"/>
      <c r="AA121" s="70"/>
      <c r="AB121" s="70"/>
      <c r="AC121" s="27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T122" s="26"/>
      <c r="U122" s="26"/>
      <c r="V122" s="26"/>
      <c r="W122" s="26"/>
      <c r="X122" s="26"/>
      <c r="Y122" s="26"/>
      <c r="AA122" s="70"/>
      <c r="AB122" s="70"/>
      <c r="AC122" s="27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T123" s="26"/>
      <c r="U123" s="26"/>
      <c r="V123" s="26"/>
      <c r="W123" s="26"/>
      <c r="X123" s="26"/>
      <c r="Y123" s="26"/>
      <c r="AA123" s="70"/>
      <c r="AB123" s="70"/>
      <c r="AC123" s="27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T124" s="26"/>
      <c r="U124" s="26"/>
      <c r="V124" s="26"/>
      <c r="W124" s="26"/>
      <c r="X124" s="26"/>
      <c r="Y124" s="26"/>
      <c r="AA124" s="70"/>
      <c r="AB124" s="70"/>
      <c r="AC124" s="27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T125" s="26"/>
      <c r="U125" s="26"/>
      <c r="V125" s="26"/>
      <c r="W125" s="26"/>
      <c r="X125" s="26"/>
      <c r="Y125" s="26"/>
      <c r="AA125" s="70"/>
      <c r="AB125" s="70"/>
      <c r="AC125" s="27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T126" s="26"/>
      <c r="U126" s="26"/>
      <c r="V126" s="26"/>
      <c r="W126" s="26"/>
      <c r="X126" s="26"/>
      <c r="Y126" s="26"/>
      <c r="AA126" s="70"/>
      <c r="AB126" s="70"/>
      <c r="AC126" s="27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T127" s="26"/>
      <c r="U127" s="26"/>
      <c r="V127" s="26"/>
      <c r="W127" s="26"/>
      <c r="X127" s="26"/>
      <c r="Y127" s="26"/>
      <c r="AA127" s="70"/>
      <c r="AB127" s="70"/>
      <c r="AC127" s="27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T128" s="26"/>
      <c r="U128" s="26"/>
      <c r="V128" s="26"/>
      <c r="W128" s="26"/>
      <c r="X128" s="26"/>
      <c r="Y128" s="26"/>
      <c r="AA128" s="70"/>
      <c r="AB128" s="70"/>
      <c r="AC128" s="27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T129" s="26"/>
      <c r="U129" s="26"/>
      <c r="V129" s="26"/>
      <c r="W129" s="26"/>
      <c r="X129" s="26"/>
      <c r="Y129" s="26"/>
      <c r="AA129" s="70"/>
      <c r="AB129" s="70"/>
      <c r="AC129" s="27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T130" s="26"/>
      <c r="U130" s="26"/>
      <c r="V130" s="26"/>
      <c r="W130" s="26"/>
      <c r="X130" s="26"/>
      <c r="Y130" s="26"/>
      <c r="AA130" s="70"/>
      <c r="AB130" s="70"/>
      <c r="AC130" s="27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T131" s="26"/>
      <c r="U131" s="26"/>
      <c r="V131" s="26"/>
      <c r="W131" s="26"/>
      <c r="X131" s="26"/>
      <c r="Y131" s="26"/>
      <c r="AA131" s="70"/>
      <c r="AB131" s="70"/>
      <c r="AC131" s="27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T132" s="26"/>
      <c r="U132" s="26"/>
      <c r="V132" s="26"/>
      <c r="W132" s="26"/>
      <c r="X132" s="26"/>
      <c r="Y132" s="26"/>
      <c r="AA132" s="70"/>
      <c r="AB132" s="70"/>
      <c r="AC132" s="27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T133" s="26"/>
      <c r="U133" s="26"/>
      <c r="V133" s="26"/>
      <c r="W133" s="26"/>
      <c r="X133" s="26"/>
      <c r="Y133" s="26"/>
      <c r="AA133" s="70"/>
      <c r="AB133" s="70"/>
      <c r="AC133" s="27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T134" s="26"/>
      <c r="U134" s="26"/>
      <c r="V134" s="26"/>
      <c r="W134" s="26"/>
      <c r="X134" s="26"/>
      <c r="Y134" s="26"/>
      <c r="AA134" s="70"/>
      <c r="AB134" s="70"/>
      <c r="AC134" s="27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T135" s="26"/>
      <c r="U135" s="26"/>
      <c r="V135" s="26"/>
      <c r="W135" s="26"/>
      <c r="X135" s="26"/>
      <c r="Y135" s="26"/>
      <c r="AA135" s="70"/>
      <c r="AB135" s="70"/>
      <c r="AC135" s="27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T136" s="26"/>
      <c r="U136" s="26"/>
      <c r="V136" s="26"/>
      <c r="W136" s="26"/>
      <c r="X136" s="26"/>
      <c r="Y136" s="26"/>
      <c r="AA136" s="70"/>
      <c r="AB136" s="70"/>
      <c r="AC136" s="27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T137" s="26"/>
      <c r="U137" s="26"/>
      <c r="V137" s="26"/>
      <c r="W137" s="26"/>
      <c r="X137" s="26"/>
      <c r="Y137" s="26"/>
      <c r="AA137" s="70"/>
      <c r="AB137" s="70"/>
      <c r="AC137" s="27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T138" s="26"/>
      <c r="U138" s="26"/>
      <c r="V138" s="26"/>
      <c r="W138" s="26"/>
      <c r="X138" s="26"/>
      <c r="Y138" s="26"/>
      <c r="AA138" s="70"/>
      <c r="AB138" s="70"/>
      <c r="AC138" s="27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T139" s="26"/>
      <c r="U139" s="26"/>
      <c r="V139" s="26"/>
      <c r="W139" s="26"/>
      <c r="X139" s="26"/>
      <c r="Y139" s="26"/>
      <c r="AA139" s="70"/>
      <c r="AB139" s="70"/>
      <c r="AC139" s="27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T140" s="26"/>
      <c r="U140" s="26"/>
      <c r="V140" s="26"/>
      <c r="W140" s="26"/>
      <c r="X140" s="26"/>
      <c r="Y140" s="26"/>
      <c r="AA140" s="70"/>
      <c r="AB140" s="70"/>
      <c r="AC140" s="27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T141" s="26"/>
      <c r="U141" s="26"/>
      <c r="V141" s="26"/>
      <c r="W141" s="26"/>
      <c r="X141" s="26"/>
      <c r="Y141" s="26"/>
      <c r="AA141" s="70"/>
      <c r="AB141" s="70"/>
      <c r="AC141" s="27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T142" s="26"/>
      <c r="U142" s="26"/>
      <c r="V142" s="26"/>
      <c r="W142" s="26"/>
      <c r="X142" s="26"/>
      <c r="Y142" s="26"/>
      <c r="AA142" s="70"/>
      <c r="AB142" s="70"/>
      <c r="AC142" s="27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T143" s="26"/>
      <c r="U143" s="26"/>
      <c r="V143" s="26"/>
      <c r="W143" s="26"/>
      <c r="X143" s="26"/>
      <c r="Y143" s="26"/>
      <c r="AA143" s="70"/>
      <c r="AB143" s="70"/>
      <c r="AC143" s="27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T144" s="26"/>
      <c r="U144" s="26"/>
      <c r="V144" s="26"/>
      <c r="W144" s="26"/>
      <c r="X144" s="26"/>
      <c r="Y144" s="26"/>
      <c r="AA144" s="70"/>
      <c r="AB144" s="70"/>
      <c r="AC144" s="27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T145" s="26"/>
      <c r="U145" s="26"/>
      <c r="V145" s="26"/>
      <c r="W145" s="26"/>
      <c r="X145" s="26"/>
      <c r="Y145" s="26"/>
      <c r="AA145" s="70"/>
      <c r="AB145" s="70"/>
      <c r="AC145" s="27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T146" s="26"/>
      <c r="U146" s="26"/>
      <c r="V146" s="26"/>
      <c r="W146" s="26"/>
      <c r="X146" s="26"/>
      <c r="Y146" s="26"/>
      <c r="AA146" s="70"/>
      <c r="AB146" s="70"/>
      <c r="AC146" s="27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T147" s="26"/>
      <c r="U147" s="26"/>
      <c r="V147" s="26"/>
      <c r="W147" s="26"/>
      <c r="X147" s="26"/>
      <c r="Y147" s="26"/>
      <c r="AA147" s="70"/>
      <c r="AB147" s="70"/>
      <c r="AC147" s="27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T148" s="26"/>
      <c r="U148" s="26"/>
      <c r="V148" s="26"/>
      <c r="W148" s="26"/>
      <c r="X148" s="26"/>
      <c r="Y148" s="26"/>
      <c r="AA148" s="70"/>
      <c r="AB148" s="70"/>
      <c r="AC148" s="27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T149" s="26"/>
      <c r="U149" s="26"/>
      <c r="V149" s="26"/>
      <c r="W149" s="26"/>
      <c r="X149" s="26"/>
      <c r="Y149" s="26"/>
      <c r="AA149" s="70"/>
      <c r="AB149" s="70"/>
      <c r="AC149" s="27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T150" s="26"/>
      <c r="U150" s="26"/>
      <c r="V150" s="26"/>
      <c r="W150" s="26"/>
      <c r="X150" s="26"/>
      <c r="Y150" s="26"/>
      <c r="AA150" s="70"/>
      <c r="AB150" s="70"/>
      <c r="AC150" s="27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T151" s="26"/>
      <c r="U151" s="26"/>
      <c r="V151" s="26"/>
      <c r="W151" s="26"/>
      <c r="X151" s="26"/>
      <c r="Y151" s="26"/>
      <c r="AA151" s="70"/>
      <c r="AB151" s="70"/>
      <c r="AC151" s="27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T152" s="26"/>
      <c r="U152" s="26"/>
      <c r="V152" s="26"/>
      <c r="W152" s="26"/>
      <c r="X152" s="26"/>
      <c r="Y152" s="26"/>
      <c r="AA152" s="70"/>
      <c r="AB152" s="70"/>
      <c r="AC152" s="27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T153" s="26"/>
      <c r="U153" s="26"/>
      <c r="V153" s="26"/>
      <c r="W153" s="26"/>
      <c r="X153" s="26"/>
      <c r="Y153" s="26"/>
      <c r="AA153" s="70"/>
      <c r="AB153" s="70"/>
      <c r="AC153" s="27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T154" s="26"/>
      <c r="U154" s="26"/>
      <c r="V154" s="26"/>
      <c r="W154" s="26"/>
      <c r="X154" s="26"/>
      <c r="Y154" s="26"/>
      <c r="AA154" s="70"/>
      <c r="AB154" s="70"/>
      <c r="AC154" s="27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T155" s="26"/>
      <c r="U155" s="26"/>
      <c r="V155" s="26"/>
      <c r="W155" s="26"/>
      <c r="X155" s="26"/>
      <c r="Y155" s="26"/>
      <c r="AA155" s="70"/>
      <c r="AB155" s="70"/>
      <c r="AC155" s="27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T156" s="26"/>
      <c r="U156" s="26"/>
      <c r="V156" s="26"/>
      <c r="W156" s="26"/>
      <c r="X156" s="26"/>
      <c r="Y156" s="26"/>
      <c r="AA156" s="70"/>
      <c r="AB156" s="70"/>
      <c r="AC156" s="27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T157" s="26"/>
      <c r="U157" s="26"/>
      <c r="V157" s="26"/>
      <c r="W157" s="26"/>
      <c r="X157" s="26"/>
      <c r="Y157" s="26"/>
      <c r="AA157" s="70"/>
      <c r="AB157" s="70"/>
      <c r="AC157" s="27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T158" s="26"/>
      <c r="U158" s="26"/>
      <c r="V158" s="26"/>
      <c r="W158" s="26"/>
      <c r="X158" s="26"/>
      <c r="Y158" s="26"/>
      <c r="AA158" s="70"/>
      <c r="AB158" s="70"/>
      <c r="AC158" s="27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T159" s="26"/>
      <c r="U159" s="26"/>
      <c r="V159" s="26"/>
      <c r="W159" s="26"/>
      <c r="X159" s="26"/>
      <c r="Y159" s="26"/>
      <c r="AA159" s="70"/>
      <c r="AB159" s="70"/>
      <c r="AC159" s="27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T160" s="26"/>
      <c r="U160" s="26"/>
      <c r="V160" s="26"/>
      <c r="W160" s="26"/>
      <c r="X160" s="26"/>
      <c r="Y160" s="26"/>
      <c r="AA160" s="70"/>
      <c r="AB160" s="70"/>
      <c r="AC160" s="27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T161" s="26"/>
      <c r="U161" s="26"/>
      <c r="V161" s="26"/>
      <c r="W161" s="26"/>
      <c r="X161" s="26"/>
      <c r="Y161" s="26"/>
      <c r="AA161" s="70"/>
      <c r="AB161" s="70"/>
      <c r="AC161" s="27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T162" s="26"/>
      <c r="U162" s="26"/>
      <c r="V162" s="26"/>
      <c r="W162" s="26"/>
      <c r="X162" s="26"/>
      <c r="Y162" s="26"/>
      <c r="AA162" s="70"/>
      <c r="AB162" s="70"/>
      <c r="AC162" s="27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T163" s="26"/>
      <c r="U163" s="26"/>
      <c r="V163" s="26"/>
      <c r="W163" s="26"/>
      <c r="X163" s="26"/>
      <c r="Y163" s="26"/>
      <c r="AA163" s="70"/>
      <c r="AB163" s="70"/>
      <c r="AC163" s="27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T164" s="26"/>
      <c r="U164" s="26"/>
      <c r="V164" s="26"/>
      <c r="W164" s="26"/>
      <c r="X164" s="26"/>
      <c r="Y164" s="26"/>
      <c r="AA164" s="70"/>
      <c r="AB164" s="70"/>
      <c r="AC164" s="27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T165" s="26"/>
      <c r="U165" s="26"/>
      <c r="V165" s="26"/>
      <c r="W165" s="26"/>
      <c r="X165" s="26"/>
      <c r="Y165" s="26"/>
      <c r="AA165" s="70"/>
      <c r="AB165" s="70"/>
      <c r="AC165" s="27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T166" s="26"/>
      <c r="U166" s="26"/>
      <c r="V166" s="26"/>
      <c r="W166" s="26"/>
      <c r="X166" s="26"/>
      <c r="Y166" s="26"/>
      <c r="AA166" s="70"/>
      <c r="AB166" s="70"/>
      <c r="AC166" s="27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T167" s="26"/>
      <c r="U167" s="26"/>
      <c r="V167" s="26"/>
      <c r="W167" s="26"/>
      <c r="X167" s="26"/>
      <c r="Y167" s="26"/>
      <c r="AA167" s="70"/>
      <c r="AB167" s="70"/>
      <c r="AC167" s="27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T168" s="26"/>
      <c r="U168" s="26"/>
      <c r="V168" s="26"/>
      <c r="W168" s="26"/>
      <c r="X168" s="26"/>
      <c r="Y168" s="26"/>
      <c r="AA168" s="70"/>
      <c r="AB168" s="70"/>
      <c r="AC168" s="27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T169" s="26"/>
      <c r="U169" s="26"/>
      <c r="V169" s="26"/>
      <c r="W169" s="26"/>
      <c r="X169" s="26"/>
      <c r="Y169" s="26"/>
      <c r="AA169" s="70"/>
      <c r="AB169" s="70"/>
      <c r="AC169" s="27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T170" s="26"/>
      <c r="U170" s="26"/>
      <c r="V170" s="26"/>
      <c r="W170" s="26"/>
      <c r="X170" s="26"/>
      <c r="Y170" s="26"/>
      <c r="AA170" s="70"/>
      <c r="AB170" s="70"/>
      <c r="AC170" s="27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T171" s="26"/>
      <c r="U171" s="26"/>
      <c r="V171" s="26"/>
      <c r="W171" s="26"/>
      <c r="X171" s="26"/>
      <c r="Y171" s="26"/>
      <c r="AA171" s="70"/>
      <c r="AB171" s="70"/>
      <c r="AC171" s="27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T172" s="26"/>
      <c r="U172" s="26"/>
      <c r="V172" s="26"/>
      <c r="W172" s="26"/>
      <c r="X172" s="26"/>
      <c r="Y172" s="26"/>
      <c r="AA172" s="70"/>
      <c r="AB172" s="70"/>
      <c r="AC172" s="27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T173" s="26"/>
      <c r="U173" s="26"/>
      <c r="V173" s="26"/>
      <c r="W173" s="26"/>
      <c r="X173" s="26"/>
      <c r="Y173" s="26"/>
      <c r="AA173" s="70"/>
      <c r="AB173" s="70"/>
      <c r="AC173" s="27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T174" s="26"/>
      <c r="U174" s="26"/>
      <c r="V174" s="26"/>
      <c r="W174" s="26"/>
      <c r="X174" s="26"/>
      <c r="Y174" s="26"/>
      <c r="AA174" s="70"/>
      <c r="AB174" s="70"/>
      <c r="AC174" s="27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T175" s="26"/>
      <c r="U175" s="26"/>
      <c r="V175" s="26"/>
      <c r="W175" s="26"/>
      <c r="X175" s="26"/>
      <c r="Y175" s="26"/>
      <c r="AA175" s="70"/>
      <c r="AB175" s="70"/>
      <c r="AC175" s="27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T176" s="26"/>
      <c r="U176" s="26"/>
      <c r="V176" s="26"/>
      <c r="W176" s="26"/>
      <c r="X176" s="26"/>
      <c r="Y176" s="26"/>
      <c r="AA176" s="70"/>
      <c r="AB176" s="70"/>
      <c r="AC176" s="27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T177" s="26"/>
      <c r="U177" s="26"/>
      <c r="V177" s="26"/>
      <c r="W177" s="26"/>
      <c r="X177" s="26"/>
      <c r="Y177" s="26"/>
      <c r="AA177" s="70"/>
      <c r="AB177" s="70"/>
      <c r="AC177" s="27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T178" s="26"/>
      <c r="U178" s="26"/>
      <c r="V178" s="26"/>
      <c r="W178" s="26"/>
      <c r="X178" s="26"/>
      <c r="Y178" s="26"/>
      <c r="AA178" s="70"/>
      <c r="AB178" s="70"/>
      <c r="AC178" s="27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T179" s="26"/>
      <c r="U179" s="26"/>
      <c r="V179" s="26"/>
      <c r="W179" s="26"/>
      <c r="X179" s="26"/>
      <c r="Y179" s="26"/>
      <c r="AA179" s="70"/>
      <c r="AB179" s="70"/>
      <c r="AC179" s="27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T180" s="26"/>
      <c r="U180" s="26"/>
      <c r="V180" s="26"/>
      <c r="W180" s="26"/>
      <c r="X180" s="26"/>
      <c r="Y180" s="26"/>
      <c r="AA180" s="70"/>
      <c r="AB180" s="70"/>
      <c r="AC180" s="27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T181" s="26"/>
      <c r="U181" s="26"/>
      <c r="V181" s="26"/>
      <c r="W181" s="26"/>
      <c r="X181" s="26"/>
      <c r="Y181" s="26"/>
      <c r="AA181" s="70"/>
      <c r="AB181" s="70"/>
      <c r="AC181" s="27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T182" s="26"/>
      <c r="U182" s="26"/>
      <c r="V182" s="26"/>
      <c r="W182" s="26"/>
      <c r="X182" s="26"/>
      <c r="Y182" s="26"/>
      <c r="AA182" s="70"/>
      <c r="AB182" s="70"/>
      <c r="AC182" s="27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T183" s="26"/>
      <c r="U183" s="26"/>
      <c r="V183" s="26"/>
      <c r="W183" s="26"/>
      <c r="X183" s="26"/>
      <c r="Y183" s="26"/>
      <c r="AA183" s="70"/>
      <c r="AB183" s="70"/>
      <c r="AC183" s="27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T184" s="26"/>
      <c r="U184" s="26"/>
      <c r="V184" s="26"/>
      <c r="W184" s="26"/>
      <c r="X184" s="26"/>
      <c r="Y184" s="26"/>
      <c r="AA184" s="70"/>
      <c r="AB184" s="70"/>
      <c r="AC184" s="27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T185" s="26"/>
      <c r="U185" s="26"/>
      <c r="V185" s="26"/>
      <c r="W185" s="26"/>
      <c r="X185" s="26"/>
      <c r="Y185" s="26"/>
      <c r="AA185" s="70"/>
      <c r="AB185" s="70"/>
      <c r="AC185" s="27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T186" s="26"/>
      <c r="U186" s="26"/>
      <c r="V186" s="26"/>
      <c r="W186" s="26"/>
      <c r="X186" s="26"/>
      <c r="Y186" s="26"/>
      <c r="AA186" s="70"/>
      <c r="AB186" s="70"/>
      <c r="AC186" s="27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T187" s="26"/>
      <c r="U187" s="26"/>
      <c r="V187" s="26"/>
      <c r="W187" s="26"/>
      <c r="X187" s="26"/>
      <c r="Y187" s="26"/>
      <c r="AA187" s="70"/>
      <c r="AB187" s="70"/>
      <c r="AC187" s="27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T188" s="26"/>
      <c r="U188" s="26"/>
      <c r="V188" s="26"/>
      <c r="W188" s="26"/>
      <c r="X188" s="26"/>
      <c r="Y188" s="26"/>
      <c r="AA188" s="70"/>
      <c r="AB188" s="70"/>
      <c r="AC188" s="27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T189" s="26"/>
      <c r="U189" s="26"/>
      <c r="V189" s="26"/>
      <c r="W189" s="26"/>
      <c r="X189" s="26"/>
      <c r="Y189" s="26"/>
      <c r="AA189" s="70"/>
      <c r="AB189" s="70"/>
      <c r="AC189" s="27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T190" s="26"/>
      <c r="U190" s="26"/>
      <c r="V190" s="26"/>
      <c r="W190" s="26"/>
      <c r="X190" s="26"/>
      <c r="Y190" s="26"/>
      <c r="AA190" s="70"/>
      <c r="AB190" s="70"/>
      <c r="AC190" s="27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T191" s="26"/>
      <c r="U191" s="26"/>
      <c r="V191" s="26"/>
      <c r="W191" s="26"/>
      <c r="X191" s="26"/>
      <c r="Y191" s="26"/>
      <c r="AA191" s="70"/>
      <c r="AB191" s="70"/>
      <c r="AC191" s="27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T192" s="26"/>
      <c r="U192" s="26"/>
      <c r="V192" s="26"/>
      <c r="W192" s="26"/>
      <c r="X192" s="26"/>
      <c r="Y192" s="26"/>
      <c r="AA192" s="70"/>
      <c r="AB192" s="70"/>
      <c r="AC192" s="27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T193" s="26"/>
      <c r="U193" s="26"/>
      <c r="V193" s="26"/>
      <c r="W193" s="26"/>
      <c r="X193" s="26"/>
      <c r="Y193" s="26"/>
      <c r="AA193" s="70"/>
      <c r="AB193" s="70"/>
      <c r="AC193" s="27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T194" s="26"/>
      <c r="U194" s="26"/>
      <c r="V194" s="26"/>
      <c r="W194" s="26"/>
      <c r="X194" s="26"/>
      <c r="Y194" s="26"/>
      <c r="AA194" s="70"/>
      <c r="AB194" s="70"/>
      <c r="AC194" s="27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T195" s="26"/>
      <c r="U195" s="26"/>
      <c r="V195" s="26"/>
      <c r="W195" s="26"/>
      <c r="X195" s="26"/>
      <c r="Y195" s="26"/>
      <c r="AA195" s="70"/>
      <c r="AB195" s="70"/>
      <c r="AC195" s="27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T196" s="26"/>
      <c r="U196" s="26"/>
      <c r="V196" s="26"/>
      <c r="W196" s="26"/>
      <c r="X196" s="26"/>
      <c r="Y196" s="26"/>
      <c r="AA196" s="70"/>
      <c r="AB196" s="70"/>
      <c r="AC196" s="27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T197" s="26"/>
      <c r="U197" s="26"/>
      <c r="V197" s="26"/>
      <c r="W197" s="26"/>
      <c r="X197" s="26"/>
      <c r="Y197" s="26"/>
      <c r="AA197" s="70"/>
      <c r="AB197" s="70"/>
      <c r="AC197" s="27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T198" s="26"/>
      <c r="U198" s="26"/>
      <c r="V198" s="26"/>
      <c r="W198" s="26"/>
      <c r="X198" s="26"/>
      <c r="Y198" s="26"/>
      <c r="AA198" s="70"/>
      <c r="AB198" s="70"/>
      <c r="AC198" s="27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T199" s="26"/>
      <c r="U199" s="26"/>
      <c r="V199" s="26"/>
      <c r="W199" s="26"/>
      <c r="X199" s="26"/>
      <c r="Y199" s="26"/>
      <c r="AA199" s="70"/>
      <c r="AB199" s="70"/>
      <c r="AC199" s="27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T200" s="26"/>
      <c r="U200" s="26"/>
      <c r="V200" s="26"/>
      <c r="W200" s="26"/>
      <c r="X200" s="26"/>
      <c r="Y200" s="26"/>
      <c r="AA200" s="70"/>
      <c r="AB200" s="70"/>
      <c r="AC200" s="27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T201" s="26"/>
      <c r="U201" s="26"/>
      <c r="V201" s="26"/>
      <c r="W201" s="26"/>
      <c r="X201" s="26"/>
      <c r="Y201" s="26"/>
      <c r="AA201" s="70"/>
      <c r="AB201" s="70"/>
      <c r="AC201" s="27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T202" s="26"/>
      <c r="U202" s="26"/>
      <c r="V202" s="26"/>
      <c r="W202" s="26"/>
      <c r="X202" s="26"/>
      <c r="Y202" s="26"/>
      <c r="AA202" s="70"/>
      <c r="AB202" s="70"/>
      <c r="AC202" s="27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T203" s="26"/>
      <c r="U203" s="26"/>
      <c r="V203" s="26"/>
      <c r="W203" s="26"/>
      <c r="X203" s="26"/>
      <c r="Y203" s="26"/>
      <c r="AA203" s="70"/>
      <c r="AB203" s="70"/>
      <c r="AC203" s="27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T204" s="26"/>
      <c r="U204" s="26"/>
      <c r="V204" s="26"/>
      <c r="W204" s="26"/>
      <c r="X204" s="26"/>
      <c r="Y204" s="26"/>
      <c r="AA204" s="70"/>
      <c r="AB204" s="70"/>
      <c r="AC204" s="27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T205" s="26"/>
      <c r="U205" s="26"/>
      <c r="V205" s="26"/>
      <c r="W205" s="26"/>
      <c r="X205" s="26"/>
      <c r="Y205" s="26"/>
      <c r="AA205" s="70"/>
      <c r="AB205" s="70"/>
      <c r="AC205" s="27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T206" s="26"/>
      <c r="U206" s="26"/>
      <c r="V206" s="26"/>
      <c r="W206" s="26"/>
      <c r="X206" s="26"/>
      <c r="Y206" s="26"/>
      <c r="AA206" s="70"/>
      <c r="AB206" s="70"/>
      <c r="AC206" s="27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T207" s="26"/>
      <c r="U207" s="26"/>
      <c r="V207" s="26"/>
      <c r="W207" s="26"/>
      <c r="X207" s="26"/>
      <c r="Y207" s="26"/>
      <c r="AA207" s="70"/>
      <c r="AB207" s="70"/>
      <c r="AC207" s="27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T208" s="26"/>
      <c r="U208" s="26"/>
      <c r="V208" s="26"/>
      <c r="W208" s="26"/>
      <c r="X208" s="26"/>
      <c r="Y208" s="26"/>
      <c r="AA208" s="70"/>
      <c r="AB208" s="70"/>
      <c r="AC208" s="27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T209" s="26"/>
      <c r="U209" s="26"/>
      <c r="V209" s="26"/>
      <c r="W209" s="26"/>
      <c r="X209" s="26"/>
      <c r="Y209" s="26"/>
      <c r="AA209" s="70"/>
      <c r="AB209" s="70"/>
      <c r="AC209" s="27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T210" s="26"/>
      <c r="U210" s="26"/>
      <c r="V210" s="26"/>
      <c r="W210" s="26"/>
      <c r="X210" s="26"/>
      <c r="Y210" s="26"/>
      <c r="AA210" s="70"/>
      <c r="AB210" s="70"/>
      <c r="AC210" s="27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T211" s="26"/>
      <c r="U211" s="26"/>
      <c r="V211" s="26"/>
      <c r="W211" s="26"/>
      <c r="X211" s="26"/>
      <c r="Y211" s="26"/>
      <c r="AA211" s="70"/>
      <c r="AB211" s="70"/>
      <c r="AC211" s="27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T212" s="26"/>
      <c r="U212" s="26"/>
      <c r="V212" s="26"/>
      <c r="W212" s="26"/>
      <c r="X212" s="26"/>
      <c r="Y212" s="26"/>
      <c r="AA212" s="70"/>
      <c r="AB212" s="70"/>
      <c r="AC212" s="27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T213" s="26"/>
      <c r="U213" s="26"/>
      <c r="V213" s="26"/>
      <c r="W213" s="26"/>
      <c r="X213" s="26"/>
      <c r="Y213" s="26"/>
      <c r="AA213" s="70"/>
      <c r="AB213" s="70"/>
      <c r="AC213" s="27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T214" s="26"/>
      <c r="U214" s="26"/>
      <c r="V214" s="26"/>
      <c r="W214" s="26"/>
      <c r="X214" s="26"/>
      <c r="Y214" s="26"/>
      <c r="AA214" s="70"/>
      <c r="AB214" s="70"/>
      <c r="AC214" s="27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T215" s="26"/>
      <c r="U215" s="26"/>
      <c r="V215" s="26"/>
      <c r="W215" s="26"/>
      <c r="X215" s="26"/>
      <c r="Y215" s="26"/>
      <c r="AA215" s="70"/>
      <c r="AB215" s="70"/>
      <c r="AC215" s="27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T216" s="26"/>
      <c r="U216" s="26"/>
      <c r="V216" s="26"/>
      <c r="W216" s="26"/>
      <c r="X216" s="26"/>
      <c r="Y216" s="26"/>
      <c r="AA216" s="70"/>
      <c r="AB216" s="70"/>
      <c r="AC216" s="27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T217" s="26"/>
      <c r="U217" s="26"/>
      <c r="V217" s="26"/>
      <c r="W217" s="26"/>
      <c r="X217" s="26"/>
      <c r="Y217" s="26"/>
      <c r="AA217" s="70"/>
      <c r="AB217" s="70"/>
      <c r="AC217" s="27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T218" s="26"/>
      <c r="U218" s="26"/>
      <c r="V218" s="26"/>
      <c r="W218" s="26"/>
      <c r="X218" s="26"/>
      <c r="Y218" s="26"/>
      <c r="AA218" s="70"/>
      <c r="AB218" s="70"/>
      <c r="AC218" s="27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T219" s="26"/>
      <c r="U219" s="26"/>
      <c r="V219" s="26"/>
      <c r="W219" s="26"/>
      <c r="X219" s="26"/>
      <c r="Y219" s="26"/>
      <c r="AA219" s="70"/>
      <c r="AB219" s="70"/>
      <c r="AC219" s="27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T220" s="26"/>
      <c r="U220" s="26"/>
      <c r="V220" s="26"/>
      <c r="W220" s="26"/>
      <c r="X220" s="26"/>
      <c r="Y220" s="26"/>
      <c r="AA220" s="70"/>
      <c r="AB220" s="70"/>
      <c r="AC220" s="27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T221" s="26"/>
      <c r="U221" s="26"/>
      <c r="V221" s="26"/>
      <c r="W221" s="26"/>
      <c r="X221" s="26"/>
      <c r="Y221" s="26"/>
      <c r="AA221" s="70"/>
      <c r="AB221" s="70"/>
      <c r="AC221" s="27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T222" s="26"/>
      <c r="U222" s="26"/>
      <c r="V222" s="26"/>
      <c r="W222" s="26"/>
      <c r="X222" s="26"/>
      <c r="Y222" s="26"/>
      <c r="AA222" s="70"/>
      <c r="AB222" s="70"/>
      <c r="AC222" s="27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T223" s="26"/>
      <c r="U223" s="26"/>
      <c r="V223" s="26"/>
      <c r="W223" s="26"/>
      <c r="X223" s="26"/>
      <c r="Y223" s="26"/>
      <c r="AA223" s="70"/>
      <c r="AB223" s="70"/>
      <c r="AC223" s="27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T224" s="26"/>
      <c r="U224" s="26"/>
      <c r="V224" s="26"/>
      <c r="W224" s="26"/>
      <c r="X224" s="26"/>
      <c r="Y224" s="26"/>
      <c r="AA224" s="70"/>
      <c r="AB224" s="70"/>
      <c r="AC224" s="27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T225" s="26"/>
      <c r="U225" s="26"/>
      <c r="V225" s="26"/>
      <c r="W225" s="26"/>
      <c r="X225" s="26"/>
      <c r="Y225" s="26"/>
      <c r="AA225" s="70"/>
      <c r="AB225" s="70"/>
      <c r="AC225" s="27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T226" s="26"/>
      <c r="U226" s="26"/>
      <c r="V226" s="26"/>
      <c r="W226" s="26"/>
      <c r="X226" s="26"/>
      <c r="Y226" s="26"/>
      <c r="AA226" s="70"/>
      <c r="AB226" s="70"/>
      <c r="AC226" s="27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T227" s="26"/>
      <c r="U227" s="26"/>
      <c r="V227" s="26"/>
      <c r="W227" s="26"/>
      <c r="X227" s="26"/>
      <c r="Y227" s="26"/>
      <c r="AA227" s="70"/>
      <c r="AB227" s="70"/>
      <c r="AC227" s="27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T228" s="26"/>
      <c r="U228" s="26"/>
      <c r="V228" s="26"/>
      <c r="W228" s="26"/>
      <c r="X228" s="26"/>
      <c r="Y228" s="26"/>
      <c r="AA228" s="70"/>
      <c r="AB228" s="70"/>
      <c r="AC228" s="27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T229" s="26"/>
      <c r="U229" s="26"/>
      <c r="V229" s="26"/>
      <c r="W229" s="26"/>
      <c r="X229" s="26"/>
      <c r="Y229" s="26"/>
      <c r="AA229" s="70"/>
      <c r="AB229" s="70"/>
      <c r="AC229" s="27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T230" s="26"/>
      <c r="U230" s="26"/>
      <c r="V230" s="26"/>
      <c r="W230" s="26"/>
      <c r="X230" s="26"/>
      <c r="Y230" s="26"/>
      <c r="AA230" s="70"/>
      <c r="AB230" s="70"/>
      <c r="AC230" s="27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T231" s="26"/>
      <c r="U231" s="26"/>
      <c r="V231" s="26"/>
      <c r="W231" s="26"/>
      <c r="X231" s="26"/>
      <c r="Y231" s="26"/>
      <c r="AA231" s="70"/>
      <c r="AB231" s="70"/>
      <c r="AC231" s="27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T232" s="26"/>
      <c r="U232" s="26"/>
      <c r="V232" s="26"/>
      <c r="W232" s="26"/>
      <c r="X232" s="26"/>
      <c r="Y232" s="26"/>
      <c r="AA232" s="70"/>
      <c r="AB232" s="70"/>
      <c r="AC232" s="27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T233" s="26"/>
      <c r="U233" s="26"/>
      <c r="V233" s="26"/>
      <c r="W233" s="26"/>
      <c r="X233" s="26"/>
      <c r="Y233" s="26"/>
      <c r="AA233" s="70"/>
      <c r="AB233" s="70"/>
      <c r="AC233" s="27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T234" s="26"/>
      <c r="U234" s="26"/>
      <c r="V234" s="26"/>
      <c r="W234" s="26"/>
      <c r="X234" s="26"/>
      <c r="Y234" s="26"/>
      <c r="AA234" s="70"/>
      <c r="AB234" s="70"/>
      <c r="AC234" s="27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T235" s="26"/>
      <c r="U235" s="26"/>
      <c r="V235" s="26"/>
      <c r="W235" s="26"/>
      <c r="X235" s="26"/>
      <c r="Y235" s="26"/>
      <c r="AA235" s="70"/>
      <c r="AB235" s="70"/>
      <c r="AC235" s="27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T236" s="26"/>
      <c r="U236" s="26"/>
      <c r="V236" s="26"/>
      <c r="W236" s="26"/>
      <c r="X236" s="26"/>
      <c r="Y236" s="26"/>
      <c r="AA236" s="70"/>
      <c r="AB236" s="70"/>
      <c r="AC236" s="27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T237" s="26"/>
      <c r="U237" s="26"/>
      <c r="V237" s="26"/>
      <c r="W237" s="26"/>
      <c r="X237" s="26"/>
      <c r="Y237" s="26"/>
      <c r="AA237" s="70"/>
      <c r="AB237" s="70"/>
      <c r="AC237" s="27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T238" s="26"/>
      <c r="U238" s="26"/>
      <c r="V238" s="26"/>
      <c r="W238" s="26"/>
      <c r="X238" s="26"/>
      <c r="Y238" s="26"/>
      <c r="AA238" s="70"/>
      <c r="AB238" s="70"/>
      <c r="AC238" s="27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T239" s="26"/>
      <c r="U239" s="26"/>
      <c r="V239" s="26"/>
      <c r="W239" s="26"/>
      <c r="X239" s="26"/>
      <c r="Y239" s="26"/>
      <c r="AA239" s="70"/>
      <c r="AB239" s="70"/>
      <c r="AC239" s="27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T240" s="26"/>
      <c r="U240" s="26"/>
      <c r="V240" s="26"/>
      <c r="W240" s="26"/>
      <c r="X240" s="26"/>
      <c r="Y240" s="26"/>
      <c r="AA240" s="70"/>
      <c r="AB240" s="70"/>
      <c r="AC240" s="27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T241" s="26"/>
      <c r="U241" s="26"/>
      <c r="V241" s="26"/>
      <c r="W241" s="26"/>
      <c r="X241" s="26"/>
      <c r="Y241" s="26"/>
      <c r="AA241" s="70"/>
      <c r="AB241" s="70"/>
      <c r="AC241" s="27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T242" s="26"/>
      <c r="U242" s="26"/>
      <c r="V242" s="26"/>
      <c r="W242" s="26"/>
      <c r="X242" s="26"/>
      <c r="Y242" s="26"/>
      <c r="AA242" s="70"/>
      <c r="AB242" s="70"/>
      <c r="AC242" s="27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T243" s="26"/>
      <c r="U243" s="26"/>
      <c r="V243" s="26"/>
      <c r="W243" s="26"/>
      <c r="X243" s="26"/>
      <c r="Y243" s="26"/>
      <c r="AA243" s="70"/>
      <c r="AB243" s="70"/>
      <c r="AC243" s="27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T244" s="26"/>
      <c r="U244" s="26"/>
      <c r="V244" s="26"/>
      <c r="W244" s="26"/>
      <c r="X244" s="26"/>
      <c r="Y244" s="26"/>
      <c r="AA244" s="70"/>
      <c r="AB244" s="70"/>
      <c r="AC244" s="27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T245" s="26"/>
      <c r="U245" s="26"/>
      <c r="V245" s="26"/>
      <c r="W245" s="26"/>
      <c r="X245" s="26"/>
      <c r="Y245" s="26"/>
      <c r="AA245" s="70"/>
      <c r="AB245" s="70"/>
      <c r="AC245" s="27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T246" s="26"/>
      <c r="U246" s="26"/>
      <c r="V246" s="26"/>
      <c r="W246" s="26"/>
      <c r="X246" s="26"/>
      <c r="Y246" s="26"/>
      <c r="AA246" s="70"/>
      <c r="AB246" s="70"/>
      <c r="AC246" s="27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T247" s="26"/>
      <c r="U247" s="26"/>
      <c r="V247" s="26"/>
      <c r="W247" s="26"/>
      <c r="X247" s="26"/>
      <c r="Y247" s="26"/>
      <c r="AA247" s="70"/>
      <c r="AB247" s="70"/>
      <c r="AC247" s="27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T248" s="26"/>
      <c r="U248" s="26"/>
      <c r="V248" s="26"/>
      <c r="W248" s="26"/>
      <c r="X248" s="26"/>
      <c r="Y248" s="26"/>
      <c r="AA248" s="70"/>
      <c r="AB248" s="70"/>
      <c r="AC248" s="27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T249" s="26"/>
      <c r="U249" s="26"/>
      <c r="V249" s="26"/>
      <c r="W249" s="26"/>
      <c r="X249" s="26"/>
      <c r="Y249" s="26"/>
      <c r="AA249" s="70"/>
      <c r="AB249" s="70"/>
      <c r="AC249" s="27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T250" s="26"/>
      <c r="U250" s="26"/>
      <c r="V250" s="26"/>
      <c r="W250" s="26"/>
      <c r="X250" s="26"/>
      <c r="Y250" s="26"/>
      <c r="AA250" s="70"/>
      <c r="AB250" s="70"/>
      <c r="AC250" s="27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T251" s="26"/>
      <c r="U251" s="26"/>
      <c r="V251" s="26"/>
      <c r="W251" s="26"/>
      <c r="X251" s="26"/>
      <c r="Y251" s="26"/>
      <c r="AA251" s="70"/>
      <c r="AB251" s="70"/>
      <c r="AC251" s="27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T252" s="26"/>
      <c r="U252" s="26"/>
      <c r="V252" s="26"/>
      <c r="W252" s="26"/>
      <c r="X252" s="26"/>
      <c r="Y252" s="26"/>
      <c r="AA252" s="70"/>
      <c r="AB252" s="70"/>
      <c r="AC252" s="27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T253" s="26"/>
      <c r="U253" s="26"/>
      <c r="V253" s="26"/>
      <c r="W253" s="26"/>
      <c r="X253" s="26"/>
      <c r="Y253" s="26"/>
      <c r="AA253" s="70"/>
      <c r="AB253" s="70"/>
      <c r="AC253" s="27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T254" s="26"/>
      <c r="U254" s="26"/>
      <c r="V254" s="26"/>
      <c r="W254" s="26"/>
      <c r="X254" s="26"/>
      <c r="Y254" s="26"/>
      <c r="AA254" s="70"/>
      <c r="AB254" s="70"/>
      <c r="AC254" s="27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T255" s="26"/>
      <c r="U255" s="26"/>
      <c r="V255" s="26"/>
      <c r="W255" s="26"/>
      <c r="X255" s="26"/>
      <c r="Y255" s="26"/>
      <c r="AA255" s="70"/>
      <c r="AB255" s="70"/>
      <c r="AC255" s="27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T256" s="26"/>
      <c r="U256" s="26"/>
      <c r="V256" s="26"/>
      <c r="W256" s="26"/>
      <c r="X256" s="26"/>
      <c r="Y256" s="26"/>
      <c r="AA256" s="70"/>
      <c r="AB256" s="70"/>
      <c r="AC256" s="27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T257" s="26"/>
      <c r="U257" s="26"/>
      <c r="V257" s="26"/>
      <c r="W257" s="26"/>
      <c r="X257" s="26"/>
      <c r="Y257" s="26"/>
      <c r="AA257" s="70"/>
      <c r="AB257" s="70"/>
      <c r="AC257" s="27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T258" s="26"/>
      <c r="U258" s="26"/>
      <c r="V258" s="26"/>
      <c r="W258" s="26"/>
      <c r="X258" s="26"/>
      <c r="Y258" s="26"/>
      <c r="AA258" s="70"/>
      <c r="AB258" s="70"/>
      <c r="AC258" s="27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T259" s="26"/>
      <c r="U259" s="26"/>
      <c r="V259" s="26"/>
      <c r="W259" s="26"/>
      <c r="X259" s="26"/>
      <c r="Y259" s="26"/>
      <c r="AA259" s="70"/>
      <c r="AB259" s="70"/>
      <c r="AC259" s="27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T260" s="26"/>
      <c r="U260" s="26"/>
      <c r="V260" s="26"/>
      <c r="W260" s="26"/>
      <c r="X260" s="26"/>
      <c r="Y260" s="26"/>
      <c r="AA260" s="70"/>
      <c r="AB260" s="70"/>
      <c r="AC260" s="27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T261" s="26"/>
      <c r="U261" s="26"/>
      <c r="V261" s="26"/>
      <c r="W261" s="26"/>
      <c r="X261" s="26"/>
      <c r="Y261" s="26"/>
      <c r="AA261" s="70"/>
      <c r="AB261" s="70"/>
      <c r="AC261" s="27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T262" s="26"/>
      <c r="U262" s="26"/>
      <c r="V262" s="26"/>
      <c r="W262" s="26"/>
      <c r="X262" s="26"/>
      <c r="Y262" s="26"/>
      <c r="AA262" s="70"/>
      <c r="AB262" s="70"/>
      <c r="AC262" s="27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T263" s="26"/>
      <c r="U263" s="26"/>
      <c r="V263" s="26"/>
      <c r="W263" s="26"/>
      <c r="X263" s="26"/>
      <c r="Y263" s="26"/>
      <c r="AA263" s="70"/>
      <c r="AB263" s="70"/>
      <c r="AC263" s="27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T264" s="26"/>
      <c r="U264" s="26"/>
      <c r="V264" s="26"/>
      <c r="W264" s="26"/>
      <c r="X264" s="26"/>
      <c r="Y264" s="26"/>
      <c r="AA264" s="70"/>
      <c r="AB264" s="70"/>
      <c r="AC264" s="27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T265" s="26"/>
      <c r="U265" s="26"/>
      <c r="V265" s="26"/>
      <c r="W265" s="26"/>
      <c r="X265" s="26"/>
      <c r="Y265" s="26"/>
      <c r="AA265" s="70"/>
      <c r="AB265" s="70"/>
      <c r="AC265" s="27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T266" s="26"/>
      <c r="U266" s="26"/>
      <c r="V266" s="26"/>
      <c r="W266" s="26"/>
      <c r="X266" s="26"/>
      <c r="Y266" s="26"/>
      <c r="AA266" s="70"/>
      <c r="AB266" s="70"/>
      <c r="AC266" s="27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T267" s="26"/>
      <c r="U267" s="26"/>
      <c r="V267" s="26"/>
      <c r="W267" s="26"/>
      <c r="X267" s="26"/>
      <c r="Y267" s="26"/>
      <c r="AA267" s="70"/>
      <c r="AB267" s="70"/>
      <c r="AC267" s="27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T268" s="26"/>
      <c r="U268" s="26"/>
      <c r="V268" s="26"/>
      <c r="W268" s="26"/>
      <c r="X268" s="26"/>
      <c r="Y268" s="26"/>
      <c r="AA268" s="70"/>
      <c r="AB268" s="70"/>
      <c r="AC268" s="27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T269" s="26"/>
      <c r="U269" s="26"/>
      <c r="V269" s="26"/>
      <c r="W269" s="26"/>
      <c r="X269" s="26"/>
      <c r="Y269" s="26"/>
      <c r="AA269" s="70"/>
      <c r="AB269" s="70"/>
      <c r="AC269" s="27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T270" s="26"/>
      <c r="U270" s="26"/>
      <c r="V270" s="26"/>
      <c r="W270" s="26"/>
      <c r="X270" s="26"/>
      <c r="Y270" s="26"/>
      <c r="AA270" s="70"/>
      <c r="AB270" s="70"/>
      <c r="AC270" s="27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T271" s="26"/>
      <c r="U271" s="26"/>
      <c r="V271" s="26"/>
      <c r="W271" s="26"/>
      <c r="X271" s="26"/>
      <c r="Y271" s="26"/>
      <c r="AA271" s="70"/>
      <c r="AB271" s="70"/>
      <c r="AC271" s="27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T272" s="26"/>
      <c r="U272" s="26"/>
      <c r="V272" s="26"/>
      <c r="W272" s="26"/>
      <c r="X272" s="26"/>
      <c r="Y272" s="26"/>
      <c r="AA272" s="70"/>
      <c r="AB272" s="70"/>
      <c r="AC272" s="27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T273" s="26"/>
      <c r="U273" s="26"/>
      <c r="V273" s="26"/>
      <c r="W273" s="26"/>
      <c r="X273" s="26"/>
      <c r="Y273" s="26"/>
      <c r="AA273" s="70"/>
      <c r="AB273" s="70"/>
      <c r="AC273" s="27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T274" s="26"/>
      <c r="U274" s="26"/>
      <c r="V274" s="26"/>
      <c r="W274" s="26"/>
      <c r="X274" s="26"/>
      <c r="Y274" s="26"/>
      <c r="AA274" s="70"/>
      <c r="AB274" s="70"/>
      <c r="AC274" s="27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T275" s="26"/>
      <c r="U275" s="26"/>
      <c r="V275" s="26"/>
      <c r="W275" s="26"/>
      <c r="X275" s="26"/>
      <c r="Y275" s="26"/>
      <c r="AA275" s="70"/>
      <c r="AB275" s="70"/>
      <c r="AC275" s="27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T276" s="26"/>
      <c r="U276" s="26"/>
      <c r="V276" s="26"/>
      <c r="W276" s="26"/>
      <c r="X276" s="26"/>
      <c r="Y276" s="26"/>
      <c r="AA276" s="70"/>
      <c r="AB276" s="70"/>
      <c r="AC276" s="27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T277" s="26"/>
      <c r="U277" s="26"/>
      <c r="V277" s="26"/>
      <c r="W277" s="26"/>
      <c r="X277" s="26"/>
      <c r="Y277" s="26"/>
      <c r="AA277" s="70"/>
      <c r="AB277" s="70"/>
      <c r="AC277" s="27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T278" s="26"/>
      <c r="U278" s="26"/>
      <c r="V278" s="26"/>
      <c r="W278" s="26"/>
      <c r="X278" s="26"/>
      <c r="Y278" s="26"/>
      <c r="AA278" s="70"/>
      <c r="AB278" s="70"/>
      <c r="AC278" s="27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T279" s="26"/>
      <c r="U279" s="26"/>
      <c r="V279" s="26"/>
      <c r="W279" s="26"/>
      <c r="X279" s="26"/>
      <c r="Y279" s="26"/>
      <c r="AA279" s="70"/>
      <c r="AB279" s="70"/>
      <c r="AC279" s="27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T280" s="26"/>
      <c r="U280" s="26"/>
      <c r="V280" s="26"/>
      <c r="W280" s="26"/>
      <c r="X280" s="26"/>
      <c r="Y280" s="26"/>
      <c r="AA280" s="70"/>
      <c r="AB280" s="70"/>
      <c r="AC280" s="27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4" t="s">
        <v>64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5" t="s">
        <v>65</v>
      </c>
      <c r="B4" s="76" t="s">
        <v>31</v>
      </c>
      <c r="C4" s="77"/>
      <c r="D4" s="76" t="s">
        <v>32</v>
      </c>
      <c r="E4" s="77"/>
      <c r="F4" s="76" t="s">
        <v>33</v>
      </c>
      <c r="G4" s="77"/>
      <c r="H4" s="76" t="s">
        <v>34</v>
      </c>
      <c r="I4" s="77"/>
      <c r="J4" s="76" t="s">
        <v>35</v>
      </c>
      <c r="K4" s="77"/>
      <c r="L4" s="76" t="s">
        <v>36</v>
      </c>
      <c r="M4" s="7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8"/>
      <c r="B5" s="79" t="s">
        <v>66</v>
      </c>
      <c r="C5" s="80" t="s">
        <v>0</v>
      </c>
      <c r="D5" s="79" t="s">
        <v>66</v>
      </c>
      <c r="E5" s="80" t="s">
        <v>0</v>
      </c>
      <c r="F5" s="79" t="s">
        <v>66</v>
      </c>
      <c r="G5" s="80" t="s">
        <v>0</v>
      </c>
      <c r="H5" s="79" t="s">
        <v>66</v>
      </c>
      <c r="I5" s="80" t="s">
        <v>0</v>
      </c>
      <c r="J5" s="79" t="s">
        <v>66</v>
      </c>
      <c r="K5" s="80" t="s">
        <v>0</v>
      </c>
      <c r="L5" s="79" t="s">
        <v>66</v>
      </c>
      <c r="M5" s="80" t="s">
        <v>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1">
        <v>1.0</v>
      </c>
      <c r="B6" s="82" t="s">
        <v>34</v>
      </c>
      <c r="C6" s="83" t="s">
        <v>4</v>
      </c>
      <c r="D6" s="84" t="s">
        <v>67</v>
      </c>
      <c r="E6" s="85" t="s">
        <v>67</v>
      </c>
      <c r="F6" s="84"/>
      <c r="G6" s="85"/>
      <c r="H6" s="84"/>
      <c r="I6" s="85"/>
      <c r="J6" s="84" t="s">
        <v>67</v>
      </c>
      <c r="K6" s="85" t="s">
        <v>67</v>
      </c>
      <c r="L6" s="86"/>
      <c r="M6" s="8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1">
        <v>2.0</v>
      </c>
      <c r="B7" s="84" t="s">
        <v>34</v>
      </c>
      <c r="C7" s="88" t="s">
        <v>12</v>
      </c>
      <c r="D7" s="84" t="s">
        <v>67</v>
      </c>
      <c r="E7" s="85" t="s">
        <v>67</v>
      </c>
      <c r="F7" s="84"/>
      <c r="G7" s="85"/>
      <c r="H7" s="89" t="s">
        <v>31</v>
      </c>
      <c r="I7" s="88" t="s">
        <v>2</v>
      </c>
      <c r="J7" s="84" t="s">
        <v>67</v>
      </c>
      <c r="K7" s="85" t="s">
        <v>67</v>
      </c>
      <c r="L7" s="25"/>
      <c r="M7" s="8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1">
        <v>3.0</v>
      </c>
      <c r="B8" s="84" t="s">
        <v>34</v>
      </c>
      <c r="C8" s="88" t="s">
        <v>6</v>
      </c>
      <c r="D8" s="84" t="s">
        <v>67</v>
      </c>
      <c r="E8" s="85" t="s">
        <v>67</v>
      </c>
      <c r="F8" s="84"/>
      <c r="G8" s="85"/>
      <c r="H8" s="89" t="s">
        <v>31</v>
      </c>
      <c r="I8" s="88" t="s">
        <v>14</v>
      </c>
      <c r="J8" s="84" t="s">
        <v>67</v>
      </c>
      <c r="K8" s="85" t="s">
        <v>67</v>
      </c>
      <c r="L8" s="89" t="s">
        <v>31</v>
      </c>
      <c r="M8" s="88" t="s">
        <v>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1">
        <v>4.0</v>
      </c>
      <c r="B9" s="84" t="s">
        <v>34</v>
      </c>
      <c r="C9" s="88" t="s">
        <v>12</v>
      </c>
      <c r="D9" s="84" t="s">
        <v>67</v>
      </c>
      <c r="E9" s="85" t="s">
        <v>67</v>
      </c>
      <c r="F9" s="84"/>
      <c r="G9" s="85"/>
      <c r="H9" s="84"/>
      <c r="I9" s="85"/>
      <c r="J9" s="84" t="s">
        <v>67</v>
      </c>
      <c r="K9" s="85" t="s">
        <v>67</v>
      </c>
      <c r="L9" s="24" t="s">
        <v>31</v>
      </c>
      <c r="M9" s="88" t="s">
        <v>14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1">
        <v>5.0</v>
      </c>
      <c r="B10" s="84" t="s">
        <v>34</v>
      </c>
      <c r="C10" s="88" t="s">
        <v>16</v>
      </c>
      <c r="D10" s="84" t="s">
        <v>67</v>
      </c>
      <c r="E10" s="85" t="s">
        <v>67</v>
      </c>
      <c r="F10" s="84"/>
      <c r="G10" s="85"/>
      <c r="H10" s="89" t="s">
        <v>31</v>
      </c>
      <c r="I10" s="88" t="s">
        <v>7</v>
      </c>
      <c r="J10" s="84" t="s">
        <v>67</v>
      </c>
      <c r="K10" s="85" t="s">
        <v>67</v>
      </c>
      <c r="L10" s="84"/>
      <c r="M10" s="8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1">
        <v>6.0</v>
      </c>
      <c r="B11" s="84"/>
      <c r="C11" s="85"/>
      <c r="D11" s="84" t="s">
        <v>67</v>
      </c>
      <c r="E11" s="85" t="s">
        <v>67</v>
      </c>
      <c r="F11" s="84"/>
      <c r="G11" s="85"/>
      <c r="H11" s="89" t="s">
        <v>31</v>
      </c>
      <c r="I11" s="88" t="s">
        <v>7</v>
      </c>
      <c r="J11" s="84" t="s">
        <v>67</v>
      </c>
      <c r="K11" s="85" t="s">
        <v>67</v>
      </c>
      <c r="L11" s="24" t="s">
        <v>31</v>
      </c>
      <c r="M11" s="88" t="s">
        <v>12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1">
        <v>7.0</v>
      </c>
      <c r="B12" s="84" t="s">
        <v>34</v>
      </c>
      <c r="C12" s="88" t="s">
        <v>2</v>
      </c>
      <c r="D12" s="84" t="s">
        <v>67</v>
      </c>
      <c r="E12" s="85" t="s">
        <v>67</v>
      </c>
      <c r="F12" s="89" t="s">
        <v>31</v>
      </c>
      <c r="G12" s="88" t="s">
        <v>6</v>
      </c>
      <c r="H12" s="84"/>
      <c r="I12" s="85"/>
      <c r="J12" s="84" t="s">
        <v>67</v>
      </c>
      <c r="K12" s="85" t="s">
        <v>67</v>
      </c>
      <c r="L12" s="89"/>
      <c r="M12" s="8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1">
        <v>8.0</v>
      </c>
      <c r="B13" s="84"/>
      <c r="C13" s="85"/>
      <c r="D13" s="84" t="s">
        <v>67</v>
      </c>
      <c r="E13" s="85" t="s">
        <v>67</v>
      </c>
      <c r="F13" s="84"/>
      <c r="G13" s="85"/>
      <c r="H13" s="89" t="s">
        <v>31</v>
      </c>
      <c r="I13" s="88" t="s">
        <v>7</v>
      </c>
      <c r="J13" s="84" t="s">
        <v>67</v>
      </c>
      <c r="K13" s="85" t="s">
        <v>67</v>
      </c>
      <c r="L13" s="84"/>
      <c r="M13" s="8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1">
        <v>9.0</v>
      </c>
      <c r="B14" s="89" t="s">
        <v>34</v>
      </c>
      <c r="C14" s="88" t="s">
        <v>4</v>
      </c>
      <c r="D14" s="84" t="s">
        <v>67</v>
      </c>
      <c r="E14" s="85" t="s">
        <v>67</v>
      </c>
      <c r="F14" s="84"/>
      <c r="G14" s="85"/>
      <c r="H14" s="89" t="s">
        <v>31</v>
      </c>
      <c r="I14" s="88" t="s">
        <v>17</v>
      </c>
      <c r="J14" s="84" t="s">
        <v>67</v>
      </c>
      <c r="K14" s="85" t="s">
        <v>67</v>
      </c>
      <c r="L14" s="84" t="s">
        <v>31</v>
      </c>
      <c r="M14" s="85" t="s">
        <v>10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0">
        <v>10.0</v>
      </c>
      <c r="B15" s="89" t="s">
        <v>34</v>
      </c>
      <c r="C15" s="88" t="s">
        <v>10</v>
      </c>
      <c r="D15" s="91" t="s">
        <v>67</v>
      </c>
      <c r="E15" s="85" t="s">
        <v>67</v>
      </c>
      <c r="F15" s="91"/>
      <c r="G15" s="85"/>
      <c r="H15" s="89" t="s">
        <v>31</v>
      </c>
      <c r="I15" s="88" t="s">
        <v>7</v>
      </c>
      <c r="J15" s="91" t="s">
        <v>67</v>
      </c>
      <c r="K15" s="85" t="s">
        <v>67</v>
      </c>
      <c r="L15" s="84" t="s">
        <v>31</v>
      </c>
      <c r="M15" s="85" t="s">
        <v>11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5" t="s">
        <v>68</v>
      </c>
      <c r="B18" s="76" t="s">
        <v>31</v>
      </c>
      <c r="C18" s="77"/>
      <c r="D18" s="76" t="s">
        <v>32</v>
      </c>
      <c r="E18" s="77"/>
      <c r="F18" s="76" t="s">
        <v>33</v>
      </c>
      <c r="G18" s="77"/>
      <c r="H18" s="76" t="s">
        <v>34</v>
      </c>
      <c r="I18" s="77"/>
      <c r="J18" s="76" t="s">
        <v>35</v>
      </c>
      <c r="K18" s="77"/>
      <c r="L18" s="76" t="s">
        <v>36</v>
      </c>
      <c r="M18" s="7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8"/>
      <c r="B19" s="79" t="s">
        <v>66</v>
      </c>
      <c r="C19" s="80" t="s">
        <v>0</v>
      </c>
      <c r="D19" s="79" t="s">
        <v>66</v>
      </c>
      <c r="E19" s="80" t="s">
        <v>0</v>
      </c>
      <c r="F19" s="79" t="s">
        <v>66</v>
      </c>
      <c r="G19" s="80" t="s">
        <v>0</v>
      </c>
      <c r="H19" s="79" t="s">
        <v>66</v>
      </c>
      <c r="I19" s="80" t="s">
        <v>0</v>
      </c>
      <c r="J19" s="79" t="s">
        <v>66</v>
      </c>
      <c r="K19" s="80" t="s">
        <v>0</v>
      </c>
      <c r="L19" s="79" t="s">
        <v>66</v>
      </c>
      <c r="M19" s="80" t="s">
        <v>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1">
        <v>1.0</v>
      </c>
      <c r="B20" s="84"/>
      <c r="C20" s="85"/>
      <c r="D20" s="89" t="s">
        <v>31</v>
      </c>
      <c r="E20" s="88" t="s">
        <v>12</v>
      </c>
      <c r="F20" s="84"/>
      <c r="G20" s="85"/>
      <c r="H20" s="84" t="s">
        <v>67</v>
      </c>
      <c r="I20" s="85" t="s">
        <v>67</v>
      </c>
      <c r="J20" s="84"/>
      <c r="K20" s="85"/>
      <c r="L20" s="84" t="s">
        <v>67</v>
      </c>
      <c r="M20" s="85" t="s">
        <v>67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1">
        <v>2.0</v>
      </c>
      <c r="B21" s="84"/>
      <c r="C21" s="85"/>
      <c r="D21" s="89" t="s">
        <v>31</v>
      </c>
      <c r="E21" s="88" t="s">
        <v>15</v>
      </c>
      <c r="F21" s="84"/>
      <c r="G21" s="85"/>
      <c r="H21" s="84" t="s">
        <v>67</v>
      </c>
      <c r="I21" s="85" t="s">
        <v>67</v>
      </c>
      <c r="J21" s="89" t="s">
        <v>69</v>
      </c>
      <c r="K21" s="88" t="s">
        <v>10</v>
      </c>
      <c r="L21" s="84" t="s">
        <v>67</v>
      </c>
      <c r="M21" s="85" t="s">
        <v>67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1">
        <v>3.0</v>
      </c>
      <c r="B22" s="84"/>
      <c r="C22" s="85"/>
      <c r="D22" s="84"/>
      <c r="E22" s="85"/>
      <c r="F22" s="84"/>
      <c r="G22" s="85"/>
      <c r="H22" s="84" t="s">
        <v>67</v>
      </c>
      <c r="I22" s="85" t="s">
        <v>67</v>
      </c>
      <c r="J22" s="89" t="s">
        <v>31</v>
      </c>
      <c r="K22" s="88" t="s">
        <v>10</v>
      </c>
      <c r="L22" s="84" t="s">
        <v>67</v>
      </c>
      <c r="M22" s="85" t="s">
        <v>67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1">
        <v>4.0</v>
      </c>
      <c r="B23" s="84"/>
      <c r="C23" s="85"/>
      <c r="D23" s="84"/>
      <c r="E23" s="85"/>
      <c r="F23" s="84"/>
      <c r="G23" s="85"/>
      <c r="H23" s="84" t="s">
        <v>67</v>
      </c>
      <c r="I23" s="85" t="s">
        <v>67</v>
      </c>
      <c r="J23" s="84"/>
      <c r="K23" s="85"/>
      <c r="L23" s="84" t="s">
        <v>67</v>
      </c>
      <c r="M23" s="85" t="s">
        <v>67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1">
        <v>5.0</v>
      </c>
      <c r="B24" s="84"/>
      <c r="C24" s="85"/>
      <c r="D24" s="84"/>
      <c r="E24" s="85"/>
      <c r="F24" s="84"/>
      <c r="G24" s="85"/>
      <c r="H24" s="84" t="s">
        <v>67</v>
      </c>
      <c r="I24" s="85" t="s">
        <v>67</v>
      </c>
      <c r="J24" s="84"/>
      <c r="K24" s="85"/>
      <c r="L24" s="84" t="s">
        <v>67</v>
      </c>
      <c r="M24" s="85" t="s">
        <v>67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1">
        <v>6.0</v>
      </c>
      <c r="B25" s="84"/>
      <c r="C25" s="85"/>
      <c r="D25" s="84"/>
      <c r="E25" s="85"/>
      <c r="F25" s="84"/>
      <c r="G25" s="85"/>
      <c r="H25" s="84" t="s">
        <v>67</v>
      </c>
      <c r="I25" s="85" t="s">
        <v>67</v>
      </c>
      <c r="J25" s="89" t="s">
        <v>69</v>
      </c>
      <c r="K25" s="88" t="s">
        <v>10</v>
      </c>
      <c r="L25" s="84" t="s">
        <v>67</v>
      </c>
      <c r="M25" s="85" t="s">
        <v>67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1">
        <v>7.0</v>
      </c>
      <c r="B26" s="89" t="s">
        <v>34</v>
      </c>
      <c r="C26" s="88" t="s">
        <v>12</v>
      </c>
      <c r="D26" s="84"/>
      <c r="E26" s="85"/>
      <c r="F26" s="89" t="s">
        <v>69</v>
      </c>
      <c r="G26" s="88" t="s">
        <v>7</v>
      </c>
      <c r="H26" s="84" t="s">
        <v>67</v>
      </c>
      <c r="I26" s="85" t="s">
        <v>67</v>
      </c>
      <c r="J26" s="89" t="s">
        <v>31</v>
      </c>
      <c r="K26" s="88" t="s">
        <v>10</v>
      </c>
      <c r="L26" s="84" t="s">
        <v>67</v>
      </c>
      <c r="M26" s="85" t="s">
        <v>67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1">
        <v>8.0</v>
      </c>
      <c r="B27" s="84"/>
      <c r="C27" s="85"/>
      <c r="D27" s="84"/>
      <c r="E27" s="85"/>
      <c r="F27" s="89" t="s">
        <v>31</v>
      </c>
      <c r="G27" s="88" t="s">
        <v>7</v>
      </c>
      <c r="H27" s="84" t="s">
        <v>67</v>
      </c>
      <c r="I27" s="85" t="s">
        <v>67</v>
      </c>
      <c r="J27" s="89" t="s">
        <v>31</v>
      </c>
      <c r="K27" s="88" t="s">
        <v>6</v>
      </c>
      <c r="L27" s="84" t="s">
        <v>67</v>
      </c>
      <c r="M27" s="85" t="s">
        <v>67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1">
        <v>9.0</v>
      </c>
      <c r="D28" s="84"/>
      <c r="E28" s="85"/>
      <c r="F28" s="89" t="s">
        <v>31</v>
      </c>
      <c r="G28" s="88" t="s">
        <v>10</v>
      </c>
      <c r="H28" s="84" t="s">
        <v>67</v>
      </c>
      <c r="I28" s="85" t="s">
        <v>67</v>
      </c>
      <c r="J28" s="84"/>
      <c r="K28" s="85"/>
      <c r="L28" s="84" t="s">
        <v>67</v>
      </c>
      <c r="M28" s="85" t="s">
        <v>67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0">
        <v>10.0</v>
      </c>
      <c r="B29" s="91"/>
      <c r="C29" s="85"/>
      <c r="D29" s="91"/>
      <c r="E29" s="85"/>
      <c r="F29" s="91"/>
      <c r="G29" s="85"/>
      <c r="H29" s="91" t="s">
        <v>67</v>
      </c>
      <c r="I29" s="85" t="s">
        <v>67</v>
      </c>
      <c r="J29" s="91"/>
      <c r="K29" s="85"/>
      <c r="L29" s="91" t="s">
        <v>67</v>
      </c>
      <c r="M29" s="85" t="s">
        <v>67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2" t="s">
        <v>70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5" t="s">
        <v>65</v>
      </c>
      <c r="B32" s="93" t="s">
        <v>31</v>
      </c>
      <c r="C32" s="94"/>
      <c r="D32" s="93" t="s">
        <v>32</v>
      </c>
      <c r="E32" s="94"/>
      <c r="F32" s="93" t="s">
        <v>33</v>
      </c>
      <c r="G32" s="94"/>
      <c r="H32" s="93" t="s">
        <v>34</v>
      </c>
      <c r="I32" s="94"/>
      <c r="J32" s="93" t="s">
        <v>35</v>
      </c>
      <c r="K32" s="94"/>
      <c r="L32" s="93" t="s">
        <v>36</v>
      </c>
      <c r="M32" s="94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5"/>
      <c r="B33" s="96" t="s">
        <v>66</v>
      </c>
      <c r="C33" s="97" t="s">
        <v>0</v>
      </c>
      <c r="D33" s="96" t="s">
        <v>66</v>
      </c>
      <c r="E33" s="97" t="s">
        <v>0</v>
      </c>
      <c r="F33" s="96" t="s">
        <v>66</v>
      </c>
      <c r="G33" s="97" t="s">
        <v>0</v>
      </c>
      <c r="H33" s="96" t="s">
        <v>66</v>
      </c>
      <c r="I33" s="97" t="s">
        <v>0</v>
      </c>
      <c r="J33" s="96" t="s">
        <v>66</v>
      </c>
      <c r="K33" s="97" t="s">
        <v>0</v>
      </c>
      <c r="L33" s="96" t="s">
        <v>66</v>
      </c>
      <c r="M33" s="97" t="s"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90">
        <v>1.0</v>
      </c>
      <c r="B34" s="98"/>
      <c r="C34" s="87"/>
      <c r="D34" s="84" t="s">
        <v>67</v>
      </c>
      <c r="E34" s="85" t="s">
        <v>67</v>
      </c>
      <c r="F34" s="84" t="s">
        <v>67</v>
      </c>
      <c r="G34" s="85" t="s">
        <v>67</v>
      </c>
      <c r="H34" s="89" t="s">
        <v>31</v>
      </c>
      <c r="I34" s="88" t="s">
        <v>7</v>
      </c>
      <c r="J34" s="84" t="s">
        <v>67</v>
      </c>
      <c r="K34" s="85" t="s">
        <v>67</v>
      </c>
      <c r="L34" s="99"/>
      <c r="M34" s="8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90">
        <v>2.0</v>
      </c>
      <c r="B35" s="89" t="s">
        <v>34</v>
      </c>
      <c r="C35" s="88" t="s">
        <v>17</v>
      </c>
      <c r="D35" s="84" t="s">
        <v>67</v>
      </c>
      <c r="E35" s="85" t="s">
        <v>67</v>
      </c>
      <c r="F35" s="84" t="s">
        <v>67</v>
      </c>
      <c r="G35" s="85" t="s">
        <v>67</v>
      </c>
      <c r="H35" s="91"/>
      <c r="I35" s="85"/>
      <c r="J35" s="84" t="s">
        <v>67</v>
      </c>
      <c r="K35" s="85" t="s">
        <v>67</v>
      </c>
      <c r="L35" s="23"/>
      <c r="M35" s="85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0">
        <v>3.0</v>
      </c>
      <c r="B36" s="89" t="s">
        <v>34</v>
      </c>
      <c r="C36" s="88" t="s">
        <v>10</v>
      </c>
      <c r="D36" s="84" t="s">
        <v>67</v>
      </c>
      <c r="E36" s="85" t="s">
        <v>67</v>
      </c>
      <c r="F36" s="84" t="s">
        <v>67</v>
      </c>
      <c r="G36" s="85" t="s">
        <v>67</v>
      </c>
      <c r="H36" s="89" t="s">
        <v>31</v>
      </c>
      <c r="I36" s="88" t="s">
        <v>7</v>
      </c>
      <c r="J36" s="84" t="s">
        <v>67</v>
      </c>
      <c r="K36" s="85" t="s">
        <v>67</v>
      </c>
      <c r="L36" s="24" t="s">
        <v>31</v>
      </c>
      <c r="M36" s="88" t="s">
        <v>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0">
        <v>4.0</v>
      </c>
      <c r="B37" s="89" t="s">
        <v>34</v>
      </c>
      <c r="C37" s="88" t="s">
        <v>9</v>
      </c>
      <c r="D37" s="84" t="s">
        <v>67</v>
      </c>
      <c r="E37" s="85" t="s">
        <v>67</v>
      </c>
      <c r="F37" s="84" t="s">
        <v>67</v>
      </c>
      <c r="G37" s="85" t="s">
        <v>67</v>
      </c>
      <c r="H37" s="89" t="s">
        <v>31</v>
      </c>
      <c r="I37" s="88" t="s">
        <v>2</v>
      </c>
      <c r="J37" s="84" t="s">
        <v>67</v>
      </c>
      <c r="K37" s="85" t="s">
        <v>67</v>
      </c>
      <c r="L37" s="23"/>
      <c r="M37" s="85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0">
        <v>5.0</v>
      </c>
      <c r="B38" s="89" t="s">
        <v>34</v>
      </c>
      <c r="C38" s="88" t="s">
        <v>9</v>
      </c>
      <c r="D38" s="84" t="s">
        <v>67</v>
      </c>
      <c r="E38" s="85" t="s">
        <v>67</v>
      </c>
      <c r="F38" s="84" t="s">
        <v>67</v>
      </c>
      <c r="G38" s="85" t="s">
        <v>67</v>
      </c>
      <c r="H38" s="89" t="s">
        <v>31</v>
      </c>
      <c r="I38" s="88" t="s">
        <v>15</v>
      </c>
      <c r="J38" s="84" t="s">
        <v>67</v>
      </c>
      <c r="K38" s="85" t="s">
        <v>67</v>
      </c>
      <c r="L38" s="23"/>
      <c r="M38" s="85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0">
        <v>6.0</v>
      </c>
      <c r="B39" s="89" t="s">
        <v>34</v>
      </c>
      <c r="C39" s="88" t="s">
        <v>12</v>
      </c>
      <c r="D39" s="84" t="s">
        <v>67</v>
      </c>
      <c r="E39" s="85" t="s">
        <v>67</v>
      </c>
      <c r="F39" s="84" t="s">
        <v>67</v>
      </c>
      <c r="G39" s="85" t="s">
        <v>67</v>
      </c>
      <c r="H39" s="89" t="s">
        <v>31</v>
      </c>
      <c r="I39" s="88" t="s">
        <v>12</v>
      </c>
      <c r="J39" s="84" t="s">
        <v>67</v>
      </c>
      <c r="K39" s="85" t="s">
        <v>67</v>
      </c>
      <c r="L39" s="24" t="s">
        <v>31</v>
      </c>
      <c r="M39" s="88" t="s">
        <v>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0">
        <v>7.0</v>
      </c>
      <c r="B40" s="89" t="s">
        <v>34</v>
      </c>
      <c r="C40" s="88" t="s">
        <v>9</v>
      </c>
      <c r="D40" s="84" t="s">
        <v>67</v>
      </c>
      <c r="E40" s="85" t="s">
        <v>67</v>
      </c>
      <c r="F40" s="84" t="s">
        <v>67</v>
      </c>
      <c r="G40" s="85" t="s">
        <v>67</v>
      </c>
      <c r="H40" s="91"/>
      <c r="I40" s="85"/>
      <c r="J40" s="84" t="s">
        <v>67</v>
      </c>
      <c r="K40" s="85" t="s">
        <v>67</v>
      </c>
      <c r="L40" s="23"/>
      <c r="M40" s="8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0">
        <v>8.0</v>
      </c>
      <c r="B41" s="91"/>
      <c r="C41" s="85"/>
      <c r="D41" s="84" t="s">
        <v>67</v>
      </c>
      <c r="E41" s="85" t="s">
        <v>67</v>
      </c>
      <c r="F41" s="84" t="s">
        <v>67</v>
      </c>
      <c r="G41" s="85" t="s">
        <v>67</v>
      </c>
      <c r="H41" s="89" t="s">
        <v>31</v>
      </c>
      <c r="I41" s="88" t="s">
        <v>16</v>
      </c>
      <c r="J41" s="84" t="s">
        <v>67</v>
      </c>
      <c r="K41" s="85" t="s">
        <v>67</v>
      </c>
      <c r="L41" s="24" t="s">
        <v>31</v>
      </c>
      <c r="M41" s="88" t="s">
        <v>10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90">
        <v>9.0</v>
      </c>
      <c r="B42" s="91"/>
      <c r="C42" s="85"/>
      <c r="D42" s="84" t="s">
        <v>67</v>
      </c>
      <c r="E42" s="85" t="s">
        <v>67</v>
      </c>
      <c r="F42" s="84" t="s">
        <v>67</v>
      </c>
      <c r="G42" s="85" t="s">
        <v>67</v>
      </c>
      <c r="H42" s="91"/>
      <c r="I42" s="85"/>
      <c r="J42" s="84" t="s">
        <v>67</v>
      </c>
      <c r="K42" s="85" t="s">
        <v>67</v>
      </c>
      <c r="L42" s="91"/>
      <c r="M42" s="85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0">
        <v>10.0</v>
      </c>
      <c r="B43" s="89" t="s">
        <v>34</v>
      </c>
      <c r="C43" s="88" t="s">
        <v>15</v>
      </c>
      <c r="D43" s="91" t="s">
        <v>67</v>
      </c>
      <c r="E43" s="85" t="s">
        <v>67</v>
      </c>
      <c r="F43" s="91" t="s">
        <v>67</v>
      </c>
      <c r="G43" s="85" t="s">
        <v>67</v>
      </c>
      <c r="H43" s="89" t="s">
        <v>31</v>
      </c>
      <c r="I43" s="88" t="s">
        <v>71</v>
      </c>
      <c r="J43" s="91" t="s">
        <v>67</v>
      </c>
      <c r="K43" s="85" t="s">
        <v>67</v>
      </c>
      <c r="L43" s="23"/>
      <c r="M43" s="85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7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5" t="s">
        <v>68</v>
      </c>
      <c r="B46" s="93" t="s">
        <v>31</v>
      </c>
      <c r="C46" s="94"/>
      <c r="D46" s="93" t="s">
        <v>32</v>
      </c>
      <c r="E46" s="94"/>
      <c r="F46" s="93" t="s">
        <v>33</v>
      </c>
      <c r="G46" s="94"/>
      <c r="H46" s="93" t="s">
        <v>34</v>
      </c>
      <c r="I46" s="94"/>
      <c r="J46" s="93" t="s">
        <v>35</v>
      </c>
      <c r="K46" s="94"/>
      <c r="L46" s="93" t="s">
        <v>36</v>
      </c>
      <c r="M46" s="94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5"/>
      <c r="B47" s="96" t="s">
        <v>66</v>
      </c>
      <c r="C47" s="97" t="s">
        <v>0</v>
      </c>
      <c r="D47" s="96" t="s">
        <v>66</v>
      </c>
      <c r="E47" s="97" t="s">
        <v>0</v>
      </c>
      <c r="F47" s="96" t="s">
        <v>66</v>
      </c>
      <c r="G47" s="97" t="s">
        <v>0</v>
      </c>
      <c r="H47" s="96" t="s">
        <v>66</v>
      </c>
      <c r="I47" s="97" t="s">
        <v>0</v>
      </c>
      <c r="J47" s="96" t="s">
        <v>66</v>
      </c>
      <c r="K47" s="97" t="s">
        <v>0</v>
      </c>
      <c r="L47" s="96" t="s">
        <v>66</v>
      </c>
      <c r="M47" s="97" t="s">
        <v>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0">
        <v>1.0</v>
      </c>
      <c r="B48" s="84" t="s">
        <v>67</v>
      </c>
      <c r="C48" s="85" t="s">
        <v>67</v>
      </c>
      <c r="D48" s="89" t="s">
        <v>69</v>
      </c>
      <c r="E48" s="88" t="s">
        <v>19</v>
      </c>
      <c r="F48" s="91"/>
      <c r="G48" s="85"/>
      <c r="H48" s="89" t="s">
        <v>31</v>
      </c>
      <c r="I48" s="88" t="s">
        <v>7</v>
      </c>
      <c r="J48" s="84" t="s">
        <v>67</v>
      </c>
      <c r="K48" s="85" t="s">
        <v>67</v>
      </c>
      <c r="L48" s="91"/>
      <c r="M48" s="85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0">
        <v>2.0</v>
      </c>
      <c r="B49" s="84" t="s">
        <v>67</v>
      </c>
      <c r="C49" s="85" t="s">
        <v>67</v>
      </c>
      <c r="D49" s="89" t="s">
        <v>31</v>
      </c>
      <c r="E49" s="88" t="s">
        <v>19</v>
      </c>
      <c r="F49" s="91"/>
      <c r="G49" s="85"/>
      <c r="H49" s="91"/>
      <c r="I49" s="85"/>
      <c r="J49" s="84" t="s">
        <v>67</v>
      </c>
      <c r="K49" s="85" t="s">
        <v>67</v>
      </c>
      <c r="L49" s="91"/>
      <c r="M49" s="85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0">
        <v>3.0</v>
      </c>
      <c r="B50" s="84" t="s">
        <v>67</v>
      </c>
      <c r="C50" s="85" t="s">
        <v>67</v>
      </c>
      <c r="D50" s="91"/>
      <c r="E50" s="85"/>
      <c r="F50" s="91"/>
      <c r="G50" s="85"/>
      <c r="H50" s="91"/>
      <c r="I50" s="85"/>
      <c r="J50" s="84" t="s">
        <v>67</v>
      </c>
      <c r="K50" s="85" t="s">
        <v>67</v>
      </c>
      <c r="L50" s="91"/>
      <c r="M50" s="8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0">
        <v>4.0</v>
      </c>
      <c r="B51" s="84" t="s">
        <v>67</v>
      </c>
      <c r="C51" s="85" t="s">
        <v>67</v>
      </c>
      <c r="D51" s="89" t="s">
        <v>69</v>
      </c>
      <c r="E51" s="88" t="s">
        <v>16</v>
      </c>
      <c r="F51" s="91"/>
      <c r="G51" s="85"/>
      <c r="H51" s="91"/>
      <c r="I51" s="85"/>
      <c r="J51" s="84" t="s">
        <v>67</v>
      </c>
      <c r="K51" s="85" t="s">
        <v>67</v>
      </c>
      <c r="L51" s="91"/>
      <c r="M51" s="85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0">
        <v>5.0</v>
      </c>
      <c r="B52" s="84" t="s">
        <v>67</v>
      </c>
      <c r="C52" s="85" t="s">
        <v>67</v>
      </c>
      <c r="D52" s="89" t="s">
        <v>31</v>
      </c>
      <c r="E52" s="88" t="s">
        <v>16</v>
      </c>
      <c r="F52" s="91"/>
      <c r="G52" s="85"/>
      <c r="H52" s="91"/>
      <c r="I52" s="85"/>
      <c r="J52" s="84" t="s">
        <v>67</v>
      </c>
      <c r="K52" s="85" t="s">
        <v>67</v>
      </c>
      <c r="L52" s="91"/>
      <c r="M52" s="85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0">
        <v>6.0</v>
      </c>
      <c r="B53" s="84" t="s">
        <v>67</v>
      </c>
      <c r="C53" s="85" t="s">
        <v>67</v>
      </c>
      <c r="D53" s="91"/>
      <c r="E53" s="85"/>
      <c r="F53" s="91"/>
      <c r="G53" s="85"/>
      <c r="H53" s="91"/>
      <c r="I53" s="85"/>
      <c r="J53" s="84" t="s">
        <v>67</v>
      </c>
      <c r="K53" s="85" t="s">
        <v>67</v>
      </c>
      <c r="L53" s="23"/>
      <c r="M53" s="8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0">
        <v>7.0</v>
      </c>
      <c r="B54" s="84" t="s">
        <v>67</v>
      </c>
      <c r="C54" s="85" t="s">
        <v>67</v>
      </c>
      <c r="D54" s="91"/>
      <c r="E54" s="85"/>
      <c r="F54" s="91"/>
      <c r="G54" s="85"/>
      <c r="H54" s="91"/>
      <c r="I54" s="85"/>
      <c r="J54" s="84" t="s">
        <v>67</v>
      </c>
      <c r="K54" s="85" t="s">
        <v>67</v>
      </c>
      <c r="L54" s="91"/>
      <c r="M54" s="8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0">
        <v>8.0</v>
      </c>
      <c r="B55" s="84" t="s">
        <v>67</v>
      </c>
      <c r="C55" s="85" t="s">
        <v>67</v>
      </c>
      <c r="D55" s="91"/>
      <c r="E55" s="85"/>
      <c r="F55" s="91"/>
      <c r="G55" s="85"/>
      <c r="H55" s="91"/>
      <c r="I55" s="85"/>
      <c r="J55" s="84" t="s">
        <v>67</v>
      </c>
      <c r="K55" s="85" t="s">
        <v>67</v>
      </c>
      <c r="L55" s="91"/>
      <c r="M55" s="8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0">
        <v>9.0</v>
      </c>
      <c r="B56" s="84" t="s">
        <v>67</v>
      </c>
      <c r="C56" s="85" t="s">
        <v>67</v>
      </c>
      <c r="D56" s="91"/>
      <c r="E56" s="85"/>
      <c r="F56" s="89" t="s">
        <v>31</v>
      </c>
      <c r="G56" s="88" t="s">
        <v>19</v>
      </c>
      <c r="H56" s="91"/>
      <c r="I56" s="85"/>
      <c r="J56" s="84" t="s">
        <v>67</v>
      </c>
      <c r="K56" s="85" t="s">
        <v>67</v>
      </c>
      <c r="L56" s="89" t="s">
        <v>31</v>
      </c>
      <c r="M56" s="88" t="s">
        <v>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0">
        <v>10.0</v>
      </c>
      <c r="B57" s="91" t="s">
        <v>67</v>
      </c>
      <c r="C57" s="85" t="s">
        <v>67</v>
      </c>
      <c r="D57" s="23"/>
      <c r="E57" s="23"/>
      <c r="F57" s="91"/>
      <c r="G57" s="85"/>
      <c r="H57" s="89" t="s">
        <v>31</v>
      </c>
      <c r="I57" s="88" t="s">
        <v>10</v>
      </c>
      <c r="J57" s="91" t="s">
        <v>67</v>
      </c>
      <c r="K57" s="85" t="s">
        <v>67</v>
      </c>
      <c r="L57" s="91"/>
      <c r="M57" s="8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2" t="s">
        <v>72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5" t="s">
        <v>65</v>
      </c>
      <c r="B60" s="93" t="s">
        <v>31</v>
      </c>
      <c r="C60" s="94"/>
      <c r="D60" s="93" t="s">
        <v>32</v>
      </c>
      <c r="E60" s="94"/>
      <c r="F60" s="93" t="s">
        <v>33</v>
      </c>
      <c r="G60" s="94"/>
      <c r="H60" s="93" t="s">
        <v>34</v>
      </c>
      <c r="I60" s="94"/>
      <c r="J60" s="93" t="s">
        <v>35</v>
      </c>
      <c r="K60" s="94"/>
      <c r="L60" s="93" t="s">
        <v>36</v>
      </c>
      <c r="M60" s="94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5"/>
      <c r="B61" s="96" t="s">
        <v>66</v>
      </c>
      <c r="C61" s="97" t="s">
        <v>0</v>
      </c>
      <c r="D61" s="96" t="s">
        <v>66</v>
      </c>
      <c r="E61" s="97" t="s">
        <v>0</v>
      </c>
      <c r="F61" s="96" t="s">
        <v>66</v>
      </c>
      <c r="G61" s="97" t="s">
        <v>0</v>
      </c>
      <c r="H61" s="96" t="s">
        <v>66</v>
      </c>
      <c r="I61" s="97" t="s">
        <v>0</v>
      </c>
      <c r="J61" s="96" t="s">
        <v>66</v>
      </c>
      <c r="K61" s="97" t="s">
        <v>0</v>
      </c>
      <c r="L61" s="96" t="s">
        <v>66</v>
      </c>
      <c r="M61" s="97" t="s">
        <v>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0">
        <v>1.0</v>
      </c>
      <c r="B62" s="89" t="s">
        <v>34</v>
      </c>
      <c r="C62" s="88" t="s">
        <v>6</v>
      </c>
      <c r="D62" s="89" t="s">
        <v>31</v>
      </c>
      <c r="E62" s="88" t="s">
        <v>15</v>
      </c>
      <c r="F62" s="84" t="s">
        <v>67</v>
      </c>
      <c r="G62" s="85" t="s">
        <v>67</v>
      </c>
      <c r="H62" s="91"/>
      <c r="I62" s="85"/>
      <c r="J62" s="84" t="s">
        <v>67</v>
      </c>
      <c r="K62" s="85" t="s">
        <v>67</v>
      </c>
      <c r="L62" s="99"/>
      <c r="M62" s="8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0">
        <v>2.0</v>
      </c>
      <c r="B63" s="89" t="s">
        <v>34</v>
      </c>
      <c r="C63" s="88" t="s">
        <v>4</v>
      </c>
      <c r="D63" s="84" t="s">
        <v>67</v>
      </c>
      <c r="E63" s="85" t="s">
        <v>67</v>
      </c>
      <c r="F63" s="84" t="s">
        <v>67</v>
      </c>
      <c r="G63" s="85" t="s">
        <v>67</v>
      </c>
      <c r="H63" s="91"/>
      <c r="I63" s="85"/>
      <c r="J63" s="84" t="s">
        <v>67</v>
      </c>
      <c r="K63" s="85" t="s">
        <v>67</v>
      </c>
      <c r="L63" s="89" t="s">
        <v>31</v>
      </c>
      <c r="M63" s="88" t="s">
        <v>12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0">
        <v>3.0</v>
      </c>
      <c r="B64" s="89" t="s">
        <v>34</v>
      </c>
      <c r="C64" s="88" t="s">
        <v>12</v>
      </c>
      <c r="D64" s="84" t="s">
        <v>67</v>
      </c>
      <c r="E64" s="85" t="s">
        <v>67</v>
      </c>
      <c r="F64" s="84" t="s">
        <v>67</v>
      </c>
      <c r="G64" s="85" t="s">
        <v>67</v>
      </c>
      <c r="H64" s="91"/>
      <c r="I64" s="85"/>
      <c r="J64" s="84" t="s">
        <v>67</v>
      </c>
      <c r="K64" s="85" t="s">
        <v>67</v>
      </c>
      <c r="L64" s="89" t="s">
        <v>31</v>
      </c>
      <c r="M64" s="88" t="s">
        <v>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0">
        <v>4.0</v>
      </c>
      <c r="B65" s="91"/>
      <c r="C65" s="85"/>
      <c r="D65" s="84" t="s">
        <v>67</v>
      </c>
      <c r="E65" s="85" t="s">
        <v>67</v>
      </c>
      <c r="F65" s="84" t="s">
        <v>67</v>
      </c>
      <c r="G65" s="85" t="s">
        <v>67</v>
      </c>
      <c r="H65" s="91"/>
      <c r="I65" s="85"/>
      <c r="J65" s="84" t="s">
        <v>67</v>
      </c>
      <c r="K65" s="85" t="s">
        <v>67</v>
      </c>
      <c r="L65" s="24" t="s">
        <v>31</v>
      </c>
      <c r="M65" s="88" t="s">
        <v>10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0">
        <v>5.0</v>
      </c>
      <c r="B66" s="89" t="s">
        <v>34</v>
      </c>
      <c r="C66" s="88" t="s">
        <v>12</v>
      </c>
      <c r="D66" s="84" t="s">
        <v>67</v>
      </c>
      <c r="E66" s="85" t="s">
        <v>67</v>
      </c>
      <c r="F66" s="84" t="s">
        <v>67</v>
      </c>
      <c r="G66" s="85" t="s">
        <v>67</v>
      </c>
      <c r="J66" s="84" t="s">
        <v>67</v>
      </c>
      <c r="K66" s="85" t="s">
        <v>67</v>
      </c>
      <c r="L66" s="24" t="s">
        <v>31</v>
      </c>
      <c r="M66" s="88" t="s">
        <v>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0">
        <v>6.0</v>
      </c>
      <c r="B67" s="89" t="s">
        <v>34</v>
      </c>
      <c r="C67" s="88" t="s">
        <v>12</v>
      </c>
      <c r="D67" s="84" t="s">
        <v>67</v>
      </c>
      <c r="E67" s="85" t="s">
        <v>67</v>
      </c>
      <c r="F67" s="84" t="s">
        <v>67</v>
      </c>
      <c r="G67" s="85" t="s">
        <v>67</v>
      </c>
      <c r="H67" s="89" t="s">
        <v>31</v>
      </c>
      <c r="I67" s="88" t="s">
        <v>10</v>
      </c>
      <c r="J67" s="84" t="s">
        <v>67</v>
      </c>
      <c r="K67" s="85" t="s">
        <v>67</v>
      </c>
      <c r="L67" s="89" t="s">
        <v>31</v>
      </c>
      <c r="M67" s="88" t="s">
        <v>10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90">
        <v>7.0</v>
      </c>
      <c r="B68" s="89" t="s">
        <v>34</v>
      </c>
      <c r="C68" s="88" t="s">
        <v>23</v>
      </c>
      <c r="D68" s="84" t="s">
        <v>67</v>
      </c>
      <c r="E68" s="85" t="s">
        <v>67</v>
      </c>
      <c r="F68" s="84" t="s">
        <v>67</v>
      </c>
      <c r="G68" s="85" t="s">
        <v>67</v>
      </c>
      <c r="H68" s="91"/>
      <c r="I68" s="85"/>
      <c r="J68" s="84" t="s">
        <v>67</v>
      </c>
      <c r="K68" s="85" t="s">
        <v>67</v>
      </c>
      <c r="L68" s="23"/>
      <c r="M68" s="8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0">
        <v>8.0</v>
      </c>
      <c r="B69" s="89" t="s">
        <v>73</v>
      </c>
      <c r="C69" s="88" t="s">
        <v>26</v>
      </c>
      <c r="D69" s="84" t="s">
        <v>67</v>
      </c>
      <c r="E69" s="85" t="s">
        <v>67</v>
      </c>
      <c r="F69" s="84" t="s">
        <v>67</v>
      </c>
      <c r="G69" s="85" t="s">
        <v>67</v>
      </c>
      <c r="H69" s="89" t="s">
        <v>31</v>
      </c>
      <c r="I69" s="88" t="s">
        <v>7</v>
      </c>
      <c r="J69" s="84" t="s">
        <v>67</v>
      </c>
      <c r="K69" s="85" t="s">
        <v>67</v>
      </c>
      <c r="L69" s="23"/>
      <c r="M69" s="8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0">
        <v>9.0</v>
      </c>
      <c r="B70" s="89" t="s">
        <v>34</v>
      </c>
      <c r="C70" s="88" t="s">
        <v>15</v>
      </c>
      <c r="D70" s="84" t="s">
        <v>67</v>
      </c>
      <c r="E70" s="85" t="s">
        <v>67</v>
      </c>
      <c r="F70" s="84" t="s">
        <v>67</v>
      </c>
      <c r="G70" s="85" t="s">
        <v>67</v>
      </c>
      <c r="H70" s="91"/>
      <c r="I70" s="85"/>
      <c r="J70" s="84" t="s">
        <v>67</v>
      </c>
      <c r="K70" s="85" t="s">
        <v>67</v>
      </c>
      <c r="L70" s="23"/>
      <c r="M70" s="8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0">
        <v>10.0</v>
      </c>
      <c r="B71" s="89" t="s">
        <v>34</v>
      </c>
      <c r="C71" s="88" t="s">
        <v>74</v>
      </c>
      <c r="D71" s="91" t="s">
        <v>67</v>
      </c>
      <c r="E71" s="85" t="s">
        <v>67</v>
      </c>
      <c r="F71" s="91" t="s">
        <v>67</v>
      </c>
      <c r="G71" s="85" t="s">
        <v>67</v>
      </c>
      <c r="H71" s="91"/>
      <c r="I71" s="85"/>
      <c r="J71" s="91" t="s">
        <v>67</v>
      </c>
      <c r="K71" s="85" t="s">
        <v>67</v>
      </c>
      <c r="L71" s="89" t="s">
        <v>31</v>
      </c>
      <c r="M71" s="88" t="s">
        <v>15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7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5" t="s">
        <v>68</v>
      </c>
      <c r="B74" s="93" t="s">
        <v>31</v>
      </c>
      <c r="C74" s="94"/>
      <c r="D74" s="93" t="s">
        <v>32</v>
      </c>
      <c r="E74" s="94"/>
      <c r="F74" s="93" t="s">
        <v>33</v>
      </c>
      <c r="G74" s="94"/>
      <c r="H74" s="93" t="s">
        <v>34</v>
      </c>
      <c r="I74" s="94"/>
      <c r="J74" s="93" t="s">
        <v>35</v>
      </c>
      <c r="K74" s="94"/>
      <c r="L74" s="93" t="s">
        <v>36</v>
      </c>
      <c r="M74" s="94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5"/>
      <c r="B75" s="96" t="s">
        <v>66</v>
      </c>
      <c r="C75" s="97" t="s">
        <v>0</v>
      </c>
      <c r="D75" s="96" t="s">
        <v>66</v>
      </c>
      <c r="E75" s="97" t="s">
        <v>0</v>
      </c>
      <c r="F75" s="96" t="s">
        <v>66</v>
      </c>
      <c r="G75" s="97" t="s">
        <v>0</v>
      </c>
      <c r="H75" s="96" t="s">
        <v>66</v>
      </c>
      <c r="I75" s="97" t="s">
        <v>0</v>
      </c>
      <c r="J75" s="96" t="s">
        <v>66</v>
      </c>
      <c r="K75" s="97" t="s">
        <v>0</v>
      </c>
      <c r="L75" s="96" t="s">
        <v>66</v>
      </c>
      <c r="M75" s="97" t="s">
        <v>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90">
        <v>1.0</v>
      </c>
      <c r="B76" s="84" t="s">
        <v>67</v>
      </c>
      <c r="C76" s="85" t="s">
        <v>67</v>
      </c>
      <c r="D76" s="89" t="s">
        <v>34</v>
      </c>
      <c r="E76" s="88" t="s">
        <v>6</v>
      </c>
      <c r="F76" s="84" t="s">
        <v>67</v>
      </c>
      <c r="G76" s="85" t="s">
        <v>67</v>
      </c>
      <c r="H76" s="91"/>
      <c r="I76" s="85"/>
      <c r="J76" s="89" t="s">
        <v>31</v>
      </c>
      <c r="K76" s="88" t="s">
        <v>10</v>
      </c>
      <c r="L76" s="91"/>
      <c r="M76" s="8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0">
        <v>2.0</v>
      </c>
      <c r="B77" s="84" t="s">
        <v>67</v>
      </c>
      <c r="C77" s="85" t="s">
        <v>67</v>
      </c>
      <c r="D77" s="91"/>
      <c r="E77" s="85"/>
      <c r="F77" s="84" t="s">
        <v>67</v>
      </c>
      <c r="G77" s="85" t="s">
        <v>67</v>
      </c>
      <c r="H77" s="91"/>
      <c r="I77" s="85"/>
      <c r="J77" s="91"/>
      <c r="K77" s="85"/>
      <c r="L77" s="89" t="s">
        <v>69</v>
      </c>
      <c r="M77" s="88" t="s">
        <v>14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0">
        <v>3.0</v>
      </c>
      <c r="B78" s="84" t="s">
        <v>67</v>
      </c>
      <c r="C78" s="85" t="s">
        <v>67</v>
      </c>
      <c r="D78" s="91"/>
      <c r="E78" s="85"/>
      <c r="F78" s="84" t="s">
        <v>67</v>
      </c>
      <c r="G78" s="85" t="s">
        <v>67</v>
      </c>
      <c r="H78" s="91"/>
      <c r="I78" s="85"/>
      <c r="J78" s="91"/>
      <c r="K78" s="85"/>
      <c r="L78" s="89" t="s">
        <v>31</v>
      </c>
      <c r="M78" s="88" t="s">
        <v>14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0">
        <v>4.0</v>
      </c>
      <c r="B79" s="84" t="s">
        <v>67</v>
      </c>
      <c r="C79" s="85" t="s">
        <v>67</v>
      </c>
      <c r="D79" s="91"/>
      <c r="E79" s="85"/>
      <c r="F79" s="84" t="s">
        <v>67</v>
      </c>
      <c r="G79" s="85" t="s">
        <v>67</v>
      </c>
      <c r="H79" s="91"/>
      <c r="I79" s="85"/>
      <c r="J79" s="91"/>
      <c r="K79" s="85"/>
      <c r="L79" s="91"/>
      <c r="M79" s="8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0">
        <v>5.0</v>
      </c>
      <c r="B80" s="84" t="s">
        <v>67</v>
      </c>
      <c r="C80" s="85" t="s">
        <v>67</v>
      </c>
      <c r="D80" s="91"/>
      <c r="E80" s="85"/>
      <c r="F80" s="84" t="s">
        <v>67</v>
      </c>
      <c r="G80" s="85" t="s">
        <v>67</v>
      </c>
      <c r="H80" s="89" t="s">
        <v>31</v>
      </c>
      <c r="I80" s="88" t="s">
        <v>6</v>
      </c>
      <c r="J80" s="91"/>
      <c r="K80" s="85"/>
      <c r="L80" s="23"/>
      <c r="M80" s="8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0">
        <v>6.0</v>
      </c>
      <c r="B81" s="84" t="s">
        <v>67</v>
      </c>
      <c r="C81" s="85" t="s">
        <v>67</v>
      </c>
      <c r="D81" s="91"/>
      <c r="E81" s="85"/>
      <c r="F81" s="84" t="s">
        <v>67</v>
      </c>
      <c r="G81" s="85" t="s">
        <v>67</v>
      </c>
      <c r="H81" s="91"/>
      <c r="I81" s="85"/>
      <c r="J81" s="91"/>
      <c r="K81" s="85"/>
      <c r="L81" s="91"/>
      <c r="M81" s="8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0">
        <v>7.0</v>
      </c>
      <c r="B82" s="84" t="s">
        <v>67</v>
      </c>
      <c r="C82" s="85" t="s">
        <v>67</v>
      </c>
      <c r="D82" s="91"/>
      <c r="E82" s="85"/>
      <c r="F82" s="84" t="s">
        <v>67</v>
      </c>
      <c r="G82" s="85" t="s">
        <v>67</v>
      </c>
      <c r="H82" s="91"/>
      <c r="I82" s="85"/>
      <c r="J82" s="91"/>
      <c r="K82" s="85"/>
      <c r="L82" s="91"/>
      <c r="M82" s="8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0">
        <v>8.0</v>
      </c>
      <c r="B83" s="84" t="s">
        <v>67</v>
      </c>
      <c r="C83" s="85" t="s">
        <v>67</v>
      </c>
      <c r="D83" s="91"/>
      <c r="E83" s="85"/>
      <c r="F83" s="84" t="s">
        <v>67</v>
      </c>
      <c r="G83" s="85" t="s">
        <v>67</v>
      </c>
      <c r="H83" s="91"/>
      <c r="I83" s="85"/>
      <c r="J83" s="91"/>
      <c r="K83" s="85"/>
      <c r="L83" s="91"/>
      <c r="M83" s="8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0">
        <v>9.0</v>
      </c>
      <c r="B84" s="84" t="s">
        <v>67</v>
      </c>
      <c r="C84" s="85" t="s">
        <v>67</v>
      </c>
      <c r="D84" s="91"/>
      <c r="E84" s="85"/>
      <c r="F84" s="84" t="s">
        <v>67</v>
      </c>
      <c r="G84" s="85" t="s">
        <v>67</v>
      </c>
      <c r="H84" s="91"/>
      <c r="I84" s="85"/>
      <c r="J84" s="91"/>
      <c r="K84" s="85"/>
      <c r="L84" s="91"/>
      <c r="M84" s="8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0">
        <v>10.0</v>
      </c>
      <c r="B85" s="91" t="s">
        <v>67</v>
      </c>
      <c r="C85" s="85" t="s">
        <v>67</v>
      </c>
      <c r="D85" s="91"/>
      <c r="E85" s="85"/>
      <c r="F85" s="91" t="s">
        <v>67</v>
      </c>
      <c r="G85" s="85" t="s">
        <v>67</v>
      </c>
      <c r="H85" s="91"/>
      <c r="I85" s="85"/>
      <c r="J85" s="91"/>
      <c r="K85" s="85"/>
      <c r="L85" s="91"/>
      <c r="M85" s="8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A3:M3 A17:M17">
    <cfRule type="containsText" dxfId="0" priority="1" operator="containsText" text="Match found">
      <formula>NOT(ISERROR(SEARCH(("Match found"),(A3))))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75</v>
      </c>
    </row>
    <row r="2">
      <c r="A2" s="2" t="s">
        <v>76</v>
      </c>
    </row>
    <row r="3">
      <c r="A3" s="100" t="s">
        <v>65</v>
      </c>
      <c r="B3" s="101" t="s">
        <v>31</v>
      </c>
      <c r="C3" s="102"/>
      <c r="D3" s="102"/>
      <c r="E3" s="103"/>
      <c r="F3" s="14" t="s">
        <v>32</v>
      </c>
      <c r="G3" s="14"/>
      <c r="H3" s="14"/>
      <c r="I3" s="13"/>
      <c r="J3" s="104" t="s">
        <v>33</v>
      </c>
      <c r="K3" s="14"/>
      <c r="L3" s="14"/>
      <c r="M3" s="103"/>
      <c r="N3" s="102" t="s">
        <v>34</v>
      </c>
      <c r="O3" s="102"/>
      <c r="P3" s="102"/>
      <c r="Q3" s="13"/>
      <c r="R3" s="104" t="s">
        <v>35</v>
      </c>
      <c r="S3" s="14"/>
      <c r="T3" s="14"/>
      <c r="U3" s="103"/>
      <c r="V3" s="14" t="s">
        <v>36</v>
      </c>
      <c r="W3" s="14"/>
      <c r="X3" s="14"/>
      <c r="Y3" s="103"/>
    </row>
    <row r="4">
      <c r="A4" s="105" t="s">
        <v>77</v>
      </c>
      <c r="B4" s="20">
        <v>1.0</v>
      </c>
      <c r="C4" s="21">
        <v>2.0</v>
      </c>
      <c r="D4" s="21">
        <v>3.0</v>
      </c>
      <c r="E4" s="22" t="s">
        <v>78</v>
      </c>
      <c r="F4" s="21">
        <v>1.0</v>
      </c>
      <c r="G4" s="21">
        <v>2.0</v>
      </c>
      <c r="H4" s="21">
        <v>3.0</v>
      </c>
      <c r="I4" s="22" t="s">
        <v>78</v>
      </c>
      <c r="J4" s="20">
        <v>1.0</v>
      </c>
      <c r="K4" s="21">
        <v>2.0</v>
      </c>
      <c r="L4" s="21">
        <v>3.0</v>
      </c>
      <c r="M4" s="22" t="s">
        <v>78</v>
      </c>
      <c r="N4" s="21">
        <v>1.0</v>
      </c>
      <c r="O4" s="21">
        <v>2.0</v>
      </c>
      <c r="P4" s="21">
        <v>3.0</v>
      </c>
      <c r="Q4" s="22" t="s">
        <v>78</v>
      </c>
      <c r="R4" s="20">
        <v>1.0</v>
      </c>
      <c r="S4" s="21">
        <v>2.0</v>
      </c>
      <c r="T4" s="21">
        <v>3.0</v>
      </c>
      <c r="U4" s="22" t="s">
        <v>78</v>
      </c>
      <c r="V4" s="21">
        <v>1.0</v>
      </c>
      <c r="W4" s="21">
        <v>2.0</v>
      </c>
      <c r="X4" s="21">
        <v>3.0</v>
      </c>
      <c r="Y4" s="22" t="s">
        <v>78</v>
      </c>
    </row>
    <row r="5">
      <c r="A5" s="106" t="s">
        <v>69</v>
      </c>
      <c r="B5" s="107">
        <v>8.0</v>
      </c>
      <c r="C5" s="108">
        <v>5.0</v>
      </c>
      <c r="D5" s="108">
        <v>4.0</v>
      </c>
      <c r="E5" s="109">
        <f>AVERAGE(B5:D5)</f>
        <v>5.666666667</v>
      </c>
      <c r="F5" s="2">
        <v>6.0</v>
      </c>
      <c r="G5" s="2">
        <v>7.0</v>
      </c>
      <c r="H5" s="2">
        <v>1.0</v>
      </c>
      <c r="I5" s="110">
        <f t="shared" ref="I5:I8" si="1">AVERAGE(F5:H5)</f>
        <v>4.666666667</v>
      </c>
      <c r="J5" s="111">
        <v>5.0</v>
      </c>
      <c r="K5" s="2">
        <v>4.0</v>
      </c>
      <c r="L5" s="2">
        <v>3.0</v>
      </c>
      <c r="M5" s="112">
        <f t="shared" ref="M5:M6" si="2">AVERAGE(J5:L5)</f>
        <v>4</v>
      </c>
      <c r="N5" s="2">
        <v>56.0</v>
      </c>
      <c r="O5" s="2">
        <v>66.0</v>
      </c>
      <c r="P5" s="2">
        <v>61.0</v>
      </c>
      <c r="Q5" s="112">
        <f t="shared" ref="Q5:Q8" si="3">AVERAGE(N5:P5)</f>
        <v>61</v>
      </c>
      <c r="R5" s="2">
        <v>2.0</v>
      </c>
      <c r="S5" s="2">
        <v>4.0</v>
      </c>
      <c r="T5" s="2">
        <v>2.0</v>
      </c>
      <c r="U5" s="112">
        <f t="shared" ref="U5:U6" si="4">AVERAGE(R5:T5)</f>
        <v>2.666666667</v>
      </c>
      <c r="V5" s="2">
        <v>44.0</v>
      </c>
      <c r="W5" s="2">
        <v>44.0</v>
      </c>
      <c r="X5" s="2">
        <v>36.0</v>
      </c>
      <c r="Y5" s="112">
        <f t="shared" ref="Y5:Y8" si="5">AVERAGE(V5:X5)</f>
        <v>41.33333333</v>
      </c>
    </row>
    <row r="6">
      <c r="A6" s="106" t="s">
        <v>31</v>
      </c>
      <c r="B6" s="113"/>
      <c r="C6" s="114"/>
      <c r="D6" s="114"/>
      <c r="E6" s="115"/>
      <c r="F6" s="2">
        <v>40.0</v>
      </c>
      <c r="G6" s="2">
        <v>28.0</v>
      </c>
      <c r="H6" s="2">
        <v>33.0</v>
      </c>
      <c r="I6" s="110">
        <f t="shared" si="1"/>
        <v>33.66666667</v>
      </c>
      <c r="J6" s="111">
        <v>27.0</v>
      </c>
      <c r="K6" s="2">
        <v>30.0</v>
      </c>
      <c r="L6" s="2">
        <v>20.0</v>
      </c>
      <c r="M6" s="112">
        <f t="shared" si="2"/>
        <v>25.66666667</v>
      </c>
      <c r="N6" s="2">
        <v>109.0</v>
      </c>
      <c r="O6" s="2">
        <v>101.0</v>
      </c>
      <c r="P6" s="2">
        <v>101.0</v>
      </c>
      <c r="Q6" s="112">
        <f t="shared" si="3"/>
        <v>103.6666667</v>
      </c>
      <c r="R6" s="2">
        <v>34.0</v>
      </c>
      <c r="S6" s="2">
        <v>29.0</v>
      </c>
      <c r="T6" s="2">
        <v>25.0</v>
      </c>
      <c r="U6" s="112">
        <f t="shared" si="4"/>
        <v>29.33333333</v>
      </c>
      <c r="V6" s="2">
        <v>71.0</v>
      </c>
      <c r="W6" s="2">
        <v>68.0</v>
      </c>
      <c r="X6" s="2">
        <v>62.0</v>
      </c>
      <c r="Y6" s="112">
        <f t="shared" si="5"/>
        <v>67</v>
      </c>
    </row>
    <row r="7">
      <c r="A7" s="106" t="s">
        <v>79</v>
      </c>
      <c r="B7" s="113">
        <v>4.0</v>
      </c>
      <c r="C7" s="114">
        <v>2.0</v>
      </c>
      <c r="D7" s="114">
        <v>5.0</v>
      </c>
      <c r="E7" s="115">
        <f t="shared" ref="E7:E9" si="6">AVERAGE(B7:D7)</f>
        <v>3.666666667</v>
      </c>
      <c r="F7" s="2">
        <v>2.0</v>
      </c>
      <c r="G7" s="2">
        <v>0.0</v>
      </c>
      <c r="H7" s="2">
        <v>1.0</v>
      </c>
      <c r="I7" s="110">
        <f t="shared" si="1"/>
        <v>1</v>
      </c>
      <c r="J7" s="111"/>
      <c r="M7" s="112"/>
      <c r="N7" s="2">
        <v>10.0</v>
      </c>
      <c r="O7" s="2">
        <v>6.0</v>
      </c>
      <c r="P7" s="2">
        <v>9.0</v>
      </c>
      <c r="Q7" s="110">
        <f t="shared" si="3"/>
        <v>8.333333333</v>
      </c>
      <c r="R7" s="111"/>
      <c r="U7" s="112"/>
      <c r="V7" s="2">
        <v>3.0</v>
      </c>
      <c r="W7" s="2">
        <v>1.0</v>
      </c>
      <c r="X7" s="2">
        <v>1.0</v>
      </c>
      <c r="Y7" s="112">
        <f t="shared" si="5"/>
        <v>1.666666667</v>
      </c>
    </row>
    <row r="8">
      <c r="A8" s="106" t="s">
        <v>34</v>
      </c>
      <c r="B8" s="113">
        <v>74.0</v>
      </c>
      <c r="C8" s="114">
        <v>75.0</v>
      </c>
      <c r="D8" s="114">
        <v>68.0</v>
      </c>
      <c r="E8" s="115">
        <f t="shared" si="6"/>
        <v>72.33333333</v>
      </c>
      <c r="F8" s="2">
        <v>10.0</v>
      </c>
      <c r="G8" s="2">
        <v>6.0</v>
      </c>
      <c r="H8" s="2">
        <v>6.0</v>
      </c>
      <c r="I8" s="110">
        <f t="shared" si="1"/>
        <v>7.333333333</v>
      </c>
      <c r="J8" s="111">
        <v>3.0</v>
      </c>
      <c r="K8" s="2">
        <v>7.0</v>
      </c>
      <c r="L8" s="2">
        <v>5.0</v>
      </c>
      <c r="M8" s="112">
        <f>AVERAGE(J8:L8)</f>
        <v>5</v>
      </c>
      <c r="N8" s="2">
        <v>2.0</v>
      </c>
      <c r="O8" s="2">
        <v>2.0</v>
      </c>
      <c r="P8" s="2">
        <v>1.0</v>
      </c>
      <c r="Q8" s="110">
        <f t="shared" si="3"/>
        <v>1.666666667</v>
      </c>
      <c r="R8" s="116"/>
      <c r="U8" s="117"/>
      <c r="V8" s="2">
        <v>5.0</v>
      </c>
      <c r="W8" s="2">
        <v>5.0</v>
      </c>
      <c r="X8" s="2">
        <v>1.0</v>
      </c>
      <c r="Y8" s="112">
        <f t="shared" si="5"/>
        <v>3.666666667</v>
      </c>
    </row>
    <row r="9">
      <c r="A9" s="118" t="s">
        <v>80</v>
      </c>
      <c r="B9" s="119">
        <v>1.0</v>
      </c>
      <c r="C9" s="120">
        <v>0.0</v>
      </c>
      <c r="D9" s="120">
        <v>1.0</v>
      </c>
      <c r="E9" s="121">
        <f t="shared" si="6"/>
        <v>0.6666666667</v>
      </c>
      <c r="F9" s="122"/>
      <c r="G9" s="122"/>
      <c r="H9" s="122"/>
      <c r="I9" s="123"/>
      <c r="J9" s="124"/>
      <c r="K9" s="125"/>
      <c r="L9" s="125"/>
      <c r="M9" s="126"/>
      <c r="N9" s="125"/>
      <c r="O9" s="125"/>
      <c r="P9" s="122"/>
      <c r="Q9" s="125"/>
      <c r="R9" s="124"/>
      <c r="S9" s="125"/>
      <c r="T9" s="125"/>
      <c r="U9" s="126"/>
      <c r="V9" s="122"/>
      <c r="W9" s="122"/>
      <c r="X9" s="122"/>
      <c r="Y9" s="127"/>
    </row>
    <row r="11">
      <c r="A11" s="100" t="s">
        <v>68</v>
      </c>
      <c r="B11" s="101" t="s">
        <v>31</v>
      </c>
      <c r="C11" s="102"/>
      <c r="D11" s="102"/>
      <c r="E11" s="103"/>
      <c r="F11" s="14" t="s">
        <v>32</v>
      </c>
      <c r="G11" s="14"/>
      <c r="H11" s="14"/>
      <c r="I11" s="13"/>
      <c r="J11" s="104" t="s">
        <v>33</v>
      </c>
      <c r="K11" s="14"/>
      <c r="L11" s="14"/>
      <c r="M11" s="103"/>
      <c r="N11" s="102" t="s">
        <v>34</v>
      </c>
      <c r="O11" s="102"/>
      <c r="P11" s="102"/>
      <c r="Q11" s="13"/>
      <c r="R11" s="104" t="s">
        <v>35</v>
      </c>
      <c r="S11" s="14"/>
      <c r="T11" s="14"/>
      <c r="U11" s="103"/>
      <c r="V11" s="14" t="s">
        <v>36</v>
      </c>
      <c r="W11" s="14"/>
      <c r="X11" s="14"/>
      <c r="Y11" s="103"/>
    </row>
    <row r="12">
      <c r="A12" s="105" t="s">
        <v>77</v>
      </c>
      <c r="B12" s="20">
        <v>1.0</v>
      </c>
      <c r="C12" s="21">
        <v>2.0</v>
      </c>
      <c r="D12" s="21">
        <v>3.0</v>
      </c>
      <c r="E12" s="22" t="s">
        <v>78</v>
      </c>
      <c r="F12" s="21">
        <v>1.0</v>
      </c>
      <c r="G12" s="21">
        <v>2.0</v>
      </c>
      <c r="H12" s="21">
        <v>3.0</v>
      </c>
      <c r="I12" s="22" t="s">
        <v>78</v>
      </c>
      <c r="J12" s="20">
        <v>1.0</v>
      </c>
      <c r="K12" s="21">
        <v>2.0</v>
      </c>
      <c r="L12" s="21">
        <v>3.0</v>
      </c>
      <c r="M12" s="22" t="s">
        <v>78</v>
      </c>
      <c r="N12" s="21">
        <v>1.0</v>
      </c>
      <c r="O12" s="21">
        <v>2.0</v>
      </c>
      <c r="P12" s="21">
        <v>3.0</v>
      </c>
      <c r="Q12" s="22" t="s">
        <v>78</v>
      </c>
      <c r="R12" s="20">
        <v>1.0</v>
      </c>
      <c r="S12" s="21">
        <v>2.0</v>
      </c>
      <c r="T12" s="21">
        <v>3.0</v>
      </c>
      <c r="U12" s="22" t="s">
        <v>78</v>
      </c>
      <c r="V12" s="21">
        <v>1.0</v>
      </c>
      <c r="W12" s="21">
        <v>2.0</v>
      </c>
      <c r="X12" s="21">
        <v>3.0</v>
      </c>
      <c r="Y12" s="22" t="s">
        <v>78</v>
      </c>
    </row>
    <row r="13">
      <c r="A13" s="106" t="s">
        <v>69</v>
      </c>
      <c r="B13" s="111">
        <v>5.0</v>
      </c>
      <c r="C13" s="2">
        <v>5.0</v>
      </c>
      <c r="D13" s="2">
        <v>1.0</v>
      </c>
      <c r="E13" s="112">
        <f>AVERAGE(B13:D13)</f>
        <v>3.666666667</v>
      </c>
      <c r="F13" s="2">
        <v>4.0</v>
      </c>
      <c r="G13" s="2">
        <v>6.0</v>
      </c>
      <c r="H13" s="2">
        <v>1.0</v>
      </c>
      <c r="I13" s="110">
        <f t="shared" ref="I13:I14" si="7">AVERAGE(F13:H13)</f>
        <v>3.666666667</v>
      </c>
      <c r="J13" s="111">
        <v>9.0</v>
      </c>
      <c r="K13" s="2">
        <v>5.0</v>
      </c>
      <c r="L13" s="2">
        <v>4.0</v>
      </c>
      <c r="M13" s="112">
        <f t="shared" ref="M13:M16" si="8">AVERAGE(J13:L13)</f>
        <v>6</v>
      </c>
      <c r="N13" s="114">
        <v>32.0</v>
      </c>
      <c r="O13" s="114">
        <v>40.0</v>
      </c>
      <c r="P13" s="114">
        <v>25.0</v>
      </c>
      <c r="Q13" s="110">
        <f t="shared" ref="Q13:Q16" si="9">AVERAGE(N13:P13)</f>
        <v>32.33333333</v>
      </c>
      <c r="R13" s="2">
        <v>10.0</v>
      </c>
      <c r="S13" s="2">
        <v>8.0</v>
      </c>
      <c r="T13" s="2">
        <v>9.0</v>
      </c>
      <c r="U13" s="112">
        <f t="shared" ref="U13:U15" si="10">AVERAGE(R13:T13)</f>
        <v>9</v>
      </c>
      <c r="V13" s="2">
        <v>17.0</v>
      </c>
      <c r="W13" s="2">
        <v>21.0</v>
      </c>
      <c r="X13" s="2">
        <v>22.0</v>
      </c>
      <c r="Y13" s="112">
        <f t="shared" ref="Y13:Y16" si="11">AVERAGE(V13:X13)</f>
        <v>20</v>
      </c>
    </row>
    <row r="14">
      <c r="A14" s="106" t="s">
        <v>31</v>
      </c>
      <c r="B14" s="111"/>
      <c r="E14" s="112"/>
      <c r="F14" s="2">
        <v>2.0</v>
      </c>
      <c r="G14" s="2">
        <v>2.0</v>
      </c>
      <c r="H14" s="2">
        <v>1.0</v>
      </c>
      <c r="I14" s="110">
        <f t="shared" si="7"/>
        <v>1.666666667</v>
      </c>
      <c r="J14" s="111">
        <v>7.0</v>
      </c>
      <c r="K14" s="2">
        <v>8.0</v>
      </c>
      <c r="L14" s="2">
        <v>4.0</v>
      </c>
      <c r="M14" s="112">
        <f t="shared" si="8"/>
        <v>6.333333333</v>
      </c>
      <c r="N14" s="114">
        <v>19.0</v>
      </c>
      <c r="O14" s="114">
        <v>19.0</v>
      </c>
      <c r="P14" s="114">
        <v>19.0</v>
      </c>
      <c r="Q14" s="110">
        <f t="shared" si="9"/>
        <v>19</v>
      </c>
      <c r="R14" s="2">
        <v>4.0</v>
      </c>
      <c r="S14" s="2">
        <v>3.0</v>
      </c>
      <c r="T14" s="2">
        <v>6.0</v>
      </c>
      <c r="U14" s="112">
        <f t="shared" si="10"/>
        <v>4.333333333</v>
      </c>
      <c r="V14" s="2">
        <v>16.0</v>
      </c>
      <c r="W14" s="2">
        <v>12.0</v>
      </c>
      <c r="X14" s="2">
        <v>19.0</v>
      </c>
      <c r="Y14" s="112">
        <f t="shared" si="11"/>
        <v>15.66666667</v>
      </c>
    </row>
    <row r="15">
      <c r="A15" s="106" t="s">
        <v>79</v>
      </c>
      <c r="B15" s="111">
        <v>1.0</v>
      </c>
      <c r="C15" s="2">
        <v>2.0</v>
      </c>
      <c r="D15" s="2">
        <v>3.0</v>
      </c>
      <c r="E15" s="112">
        <f t="shared" ref="E15:E17" si="12">AVERAGE(B15:D15)</f>
        <v>2</v>
      </c>
      <c r="I15" s="110"/>
      <c r="J15" s="111">
        <v>0.0</v>
      </c>
      <c r="K15" s="2">
        <v>0.0</v>
      </c>
      <c r="L15" s="2">
        <v>1.0</v>
      </c>
      <c r="M15" s="112">
        <f t="shared" si="8"/>
        <v>0.3333333333</v>
      </c>
      <c r="N15" s="114">
        <v>0.0</v>
      </c>
      <c r="O15" s="114">
        <v>2.0</v>
      </c>
      <c r="P15" s="114">
        <v>1.0</v>
      </c>
      <c r="Q15" s="110">
        <f t="shared" si="9"/>
        <v>1</v>
      </c>
      <c r="R15" s="2">
        <v>1.0</v>
      </c>
      <c r="S15" s="2">
        <v>0.0</v>
      </c>
      <c r="T15" s="2">
        <v>0.0</v>
      </c>
      <c r="U15" s="112">
        <f t="shared" si="10"/>
        <v>0.3333333333</v>
      </c>
      <c r="V15" s="2">
        <v>0.0</v>
      </c>
      <c r="W15" s="2">
        <v>0.0</v>
      </c>
      <c r="X15" s="2">
        <v>1.0</v>
      </c>
      <c r="Y15" s="112">
        <f t="shared" si="11"/>
        <v>0.3333333333</v>
      </c>
    </row>
    <row r="16">
      <c r="A16" s="106" t="s">
        <v>34</v>
      </c>
      <c r="B16" s="111">
        <v>12.0</v>
      </c>
      <c r="C16" s="2">
        <v>11.0</v>
      </c>
      <c r="D16" s="2">
        <v>8.0</v>
      </c>
      <c r="E16" s="112">
        <f t="shared" si="12"/>
        <v>10.33333333</v>
      </c>
      <c r="F16" s="2">
        <v>0.0</v>
      </c>
      <c r="G16" s="2">
        <v>1.0</v>
      </c>
      <c r="H16" s="2">
        <v>2.0</v>
      </c>
      <c r="I16" s="110">
        <f t="shared" ref="I16:I17" si="13">AVERAGE(F16:H16)</f>
        <v>1</v>
      </c>
      <c r="J16" s="111">
        <v>10.0</v>
      </c>
      <c r="K16" s="2">
        <v>7.0</v>
      </c>
      <c r="L16" s="2">
        <v>5.0</v>
      </c>
      <c r="M16" s="112">
        <f t="shared" si="8"/>
        <v>7.333333333</v>
      </c>
      <c r="N16" s="114">
        <v>1.0</v>
      </c>
      <c r="O16" s="114">
        <v>1.0</v>
      </c>
      <c r="P16" s="114">
        <v>0.0</v>
      </c>
      <c r="Q16" s="110">
        <f t="shared" si="9"/>
        <v>0.6666666667</v>
      </c>
      <c r="R16" s="116"/>
      <c r="U16" s="117"/>
      <c r="V16" s="2">
        <v>1.0</v>
      </c>
      <c r="W16" s="2">
        <v>0.0</v>
      </c>
      <c r="X16" s="2">
        <v>1.0</v>
      </c>
      <c r="Y16" s="112">
        <f t="shared" si="11"/>
        <v>0.6666666667</v>
      </c>
    </row>
    <row r="17">
      <c r="A17" s="118" t="s">
        <v>80</v>
      </c>
      <c r="B17" s="128">
        <v>0.0</v>
      </c>
      <c r="C17" s="122">
        <v>0.0</v>
      </c>
      <c r="D17" s="122">
        <v>1.0</v>
      </c>
      <c r="E17" s="127">
        <f t="shared" si="12"/>
        <v>0.3333333333</v>
      </c>
      <c r="F17" s="122">
        <v>1.0</v>
      </c>
      <c r="G17" s="122">
        <v>0.0</v>
      </c>
      <c r="H17" s="122">
        <v>0.0</v>
      </c>
      <c r="I17" s="110">
        <f t="shared" si="13"/>
        <v>0.3333333333</v>
      </c>
      <c r="J17" s="124"/>
      <c r="K17" s="125"/>
      <c r="L17" s="125"/>
      <c r="M17" s="126"/>
      <c r="N17" s="125"/>
      <c r="O17" s="125"/>
      <c r="P17" s="125"/>
      <c r="Q17" s="125"/>
      <c r="R17" s="124"/>
      <c r="S17" s="125"/>
      <c r="T17" s="125"/>
      <c r="U17" s="126"/>
      <c r="V17" s="122"/>
      <c r="W17" s="122"/>
      <c r="X17" s="122"/>
      <c r="Y17" s="127"/>
    </row>
    <row r="21">
      <c r="A21" s="4" t="s">
        <v>81</v>
      </c>
    </row>
    <row r="22">
      <c r="A22" s="2" t="s">
        <v>76</v>
      </c>
    </row>
    <row r="23">
      <c r="A23" s="129" t="s">
        <v>65</v>
      </c>
      <c r="B23" s="101" t="s">
        <v>31</v>
      </c>
      <c r="C23" s="102"/>
      <c r="D23" s="101" t="s">
        <v>32</v>
      </c>
      <c r="E23" s="102"/>
      <c r="F23" s="101" t="s">
        <v>33</v>
      </c>
      <c r="G23" s="102"/>
      <c r="H23" s="101" t="s">
        <v>34</v>
      </c>
      <c r="I23" s="102"/>
      <c r="J23" s="101" t="s">
        <v>35</v>
      </c>
      <c r="K23" s="102"/>
      <c r="L23" s="101" t="s">
        <v>36</v>
      </c>
      <c r="M23" s="102"/>
      <c r="P23" s="101" t="s">
        <v>82</v>
      </c>
      <c r="Q23" s="102"/>
      <c r="R23" s="102"/>
      <c r="S23" s="102"/>
      <c r="T23" s="102"/>
    </row>
    <row r="24">
      <c r="A24" s="130"/>
      <c r="B24" s="20" t="s">
        <v>40</v>
      </c>
      <c r="C24" s="21" t="s">
        <v>78</v>
      </c>
      <c r="D24" s="20" t="s">
        <v>40</v>
      </c>
      <c r="E24" s="21" t="s">
        <v>78</v>
      </c>
      <c r="F24" s="20" t="s">
        <v>40</v>
      </c>
      <c r="G24" s="21" t="s">
        <v>78</v>
      </c>
      <c r="H24" s="20" t="s">
        <v>40</v>
      </c>
      <c r="I24" s="21" t="s">
        <v>78</v>
      </c>
      <c r="J24" s="20" t="s">
        <v>40</v>
      </c>
      <c r="K24" s="21" t="s">
        <v>78</v>
      </c>
      <c r="L24" s="20" t="s">
        <v>40</v>
      </c>
      <c r="M24" s="21" t="s">
        <v>78</v>
      </c>
      <c r="O24" s="1" t="s">
        <v>83</v>
      </c>
      <c r="P24" s="20" t="s">
        <v>40</v>
      </c>
      <c r="Q24" s="21" t="s">
        <v>84</v>
      </c>
      <c r="R24" s="21" t="s">
        <v>85</v>
      </c>
      <c r="S24" s="21" t="s">
        <v>86</v>
      </c>
      <c r="T24" s="22" t="s">
        <v>87</v>
      </c>
    </row>
    <row r="25">
      <c r="A25" s="130"/>
      <c r="B25" s="131" t="s">
        <v>3</v>
      </c>
      <c r="C25" s="132">
        <v>5.0</v>
      </c>
      <c r="D25" s="133" t="s">
        <v>3</v>
      </c>
      <c r="E25" s="132">
        <v>3.0</v>
      </c>
      <c r="F25" s="133" t="s">
        <v>3</v>
      </c>
      <c r="G25" s="132">
        <v>1.33333333333333</v>
      </c>
      <c r="H25" s="133" t="s">
        <v>3</v>
      </c>
      <c r="I25" s="132">
        <v>11.6666666666667</v>
      </c>
      <c r="J25" s="133" t="s">
        <v>3</v>
      </c>
      <c r="K25" s="132">
        <v>2.33333333333333</v>
      </c>
      <c r="L25" s="133" t="s">
        <v>3</v>
      </c>
      <c r="M25" s="132">
        <v>7.66666666666667</v>
      </c>
      <c r="N25" s="110"/>
      <c r="O25" s="2">
        <v>18.0</v>
      </c>
      <c r="P25" s="23" t="s">
        <v>3</v>
      </c>
      <c r="Q25" s="134">
        <f t="shared" ref="Q25:Q46" si="14">SUM(C25,E25,G25,I25,K25,M25)/6</f>
        <v>5.166666667</v>
      </c>
      <c r="R25" s="135">
        <f t="shared" ref="R25:R47" si="15">Q25/O25</f>
        <v>0.287037037</v>
      </c>
      <c r="S25" s="136">
        <f t="shared" ref="S25:S46" si="16">SUM(C49,E49,G49,I49,K49,M49)/6</f>
        <v>1.722222222</v>
      </c>
      <c r="T25" s="137">
        <f t="shared" ref="T25:T46" si="17">S25/O25</f>
        <v>0.09567901235</v>
      </c>
    </row>
    <row r="26">
      <c r="A26" s="130"/>
      <c r="B26" s="46" t="s">
        <v>10</v>
      </c>
      <c r="C26" s="138">
        <v>1.66666666666667</v>
      </c>
      <c r="D26" s="139" t="s">
        <v>10</v>
      </c>
      <c r="E26" s="138">
        <v>2.33333333333333</v>
      </c>
      <c r="F26" s="139" t="s">
        <v>10</v>
      </c>
      <c r="G26" s="138">
        <v>1.33333333333333</v>
      </c>
      <c r="H26" s="139" t="s">
        <v>10</v>
      </c>
      <c r="I26" s="138">
        <v>14.6666666666667</v>
      </c>
      <c r="J26" s="139" t="s">
        <v>10</v>
      </c>
      <c r="K26" s="138">
        <v>2.66666666666667</v>
      </c>
      <c r="L26" s="139" t="s">
        <v>10</v>
      </c>
      <c r="M26" s="138">
        <v>10.6666666666667</v>
      </c>
      <c r="N26" s="110"/>
      <c r="O26" s="2">
        <v>13.0</v>
      </c>
      <c r="P26" s="23" t="s">
        <v>10</v>
      </c>
      <c r="Q26" s="134">
        <f t="shared" si="14"/>
        <v>5.555555556</v>
      </c>
      <c r="R26" s="135">
        <f t="shared" si="15"/>
        <v>0.4273504274</v>
      </c>
      <c r="S26" s="136">
        <f t="shared" si="16"/>
        <v>1.444444444</v>
      </c>
      <c r="T26" s="137">
        <f t="shared" si="17"/>
        <v>0.1111111111</v>
      </c>
    </row>
    <row r="27">
      <c r="A27" s="130"/>
      <c r="B27" s="46" t="s">
        <v>17</v>
      </c>
      <c r="C27" s="138">
        <v>4.0</v>
      </c>
      <c r="D27" s="139" t="s">
        <v>17</v>
      </c>
      <c r="E27" s="138">
        <v>1.33333333333333</v>
      </c>
      <c r="F27" s="139" t="s">
        <v>17</v>
      </c>
      <c r="G27" s="138"/>
      <c r="H27" s="139" t="s">
        <v>17</v>
      </c>
      <c r="I27" s="138">
        <v>4.33333333333333</v>
      </c>
      <c r="J27" s="139" t="s">
        <v>17</v>
      </c>
      <c r="K27" s="138">
        <v>1.33333333333333</v>
      </c>
      <c r="L27" s="139" t="s">
        <v>17</v>
      </c>
      <c r="M27" s="138">
        <v>0.666666666666667</v>
      </c>
      <c r="N27" s="140"/>
      <c r="O27" s="2">
        <v>7.0</v>
      </c>
      <c r="P27" s="23" t="s">
        <v>17</v>
      </c>
      <c r="Q27" s="134">
        <f t="shared" si="14"/>
        <v>1.944444444</v>
      </c>
      <c r="R27" s="135">
        <f t="shared" si="15"/>
        <v>0.2777777778</v>
      </c>
      <c r="S27" s="136">
        <f t="shared" si="16"/>
        <v>0.5</v>
      </c>
      <c r="T27" s="137">
        <f t="shared" si="17"/>
        <v>0.07142857143</v>
      </c>
    </row>
    <row r="28">
      <c r="A28" s="130"/>
      <c r="B28" s="46" t="s">
        <v>12</v>
      </c>
      <c r="C28" s="138">
        <v>8.33333333333333</v>
      </c>
      <c r="D28" s="139" t="s">
        <v>12</v>
      </c>
      <c r="E28" s="138">
        <v>1.66666666666667</v>
      </c>
      <c r="F28" s="139" t="s">
        <v>12</v>
      </c>
      <c r="G28" s="138"/>
      <c r="H28" s="139" t="s">
        <v>12</v>
      </c>
      <c r="I28" s="138">
        <v>2.66666666666667</v>
      </c>
      <c r="J28" s="139" t="s">
        <v>12</v>
      </c>
      <c r="K28" s="138">
        <v>1.33333333333333</v>
      </c>
      <c r="L28" s="139" t="s">
        <v>12</v>
      </c>
      <c r="M28" s="138">
        <v>3.33333333333333</v>
      </c>
      <c r="N28" s="140"/>
      <c r="O28" s="2">
        <v>11.0</v>
      </c>
      <c r="P28" s="23" t="s">
        <v>12</v>
      </c>
      <c r="Q28" s="134">
        <f t="shared" si="14"/>
        <v>2.888888889</v>
      </c>
      <c r="R28" s="135">
        <f t="shared" si="15"/>
        <v>0.2626262626</v>
      </c>
      <c r="S28" s="136">
        <f t="shared" si="16"/>
        <v>0.8888888889</v>
      </c>
      <c r="T28" s="137">
        <f t="shared" si="17"/>
        <v>0.08080808081</v>
      </c>
    </row>
    <row r="29">
      <c r="A29" s="130"/>
      <c r="B29" s="46" t="s">
        <v>21</v>
      </c>
      <c r="C29" s="138"/>
      <c r="D29" s="139" t="s">
        <v>21</v>
      </c>
      <c r="E29" s="138"/>
      <c r="F29" s="139" t="s">
        <v>21</v>
      </c>
      <c r="G29" s="141"/>
      <c r="H29" s="139" t="s">
        <v>21</v>
      </c>
      <c r="I29" s="138">
        <v>0.333333333333333</v>
      </c>
      <c r="J29" s="141" t="s">
        <v>21</v>
      </c>
      <c r="K29" s="141"/>
      <c r="L29" s="139" t="s">
        <v>21</v>
      </c>
      <c r="M29" s="138"/>
      <c r="N29" s="140"/>
      <c r="O29" s="2">
        <v>1.0</v>
      </c>
      <c r="P29" s="23" t="s">
        <v>21</v>
      </c>
      <c r="Q29" s="134">
        <f t="shared" si="14"/>
        <v>0.05555555556</v>
      </c>
      <c r="R29" s="135">
        <f t="shared" si="15"/>
        <v>0.05555555556</v>
      </c>
      <c r="S29" s="136">
        <f t="shared" si="16"/>
        <v>0.2777777778</v>
      </c>
      <c r="T29" s="137">
        <f t="shared" si="17"/>
        <v>0.2777777778</v>
      </c>
    </row>
    <row r="30">
      <c r="A30" s="130"/>
      <c r="B30" s="46" t="s">
        <v>22</v>
      </c>
      <c r="C30" s="138"/>
      <c r="D30" s="139" t="s">
        <v>22</v>
      </c>
      <c r="E30" s="138">
        <v>0.333333333333333</v>
      </c>
      <c r="F30" s="139" t="s">
        <v>22</v>
      </c>
      <c r="G30" s="141"/>
      <c r="H30" s="139" t="s">
        <v>22</v>
      </c>
      <c r="I30" s="138">
        <v>0.333333333333333</v>
      </c>
      <c r="J30" s="139" t="s">
        <v>22</v>
      </c>
      <c r="K30" s="138">
        <v>0.666666666666667</v>
      </c>
      <c r="L30" s="139" t="s">
        <v>22</v>
      </c>
      <c r="M30" s="138">
        <v>0.333333333333333</v>
      </c>
      <c r="N30" s="110"/>
      <c r="O30" s="2">
        <v>1.0</v>
      </c>
      <c r="P30" s="23" t="s">
        <v>22</v>
      </c>
      <c r="Q30" s="134">
        <f t="shared" si="14"/>
        <v>0.2777777778</v>
      </c>
      <c r="R30" s="135">
        <f t="shared" si="15"/>
        <v>0.2777777778</v>
      </c>
      <c r="S30" s="136">
        <f t="shared" si="16"/>
        <v>0</v>
      </c>
      <c r="T30" s="137">
        <f t="shared" si="17"/>
        <v>0</v>
      </c>
    </row>
    <row r="31">
      <c r="A31" s="130"/>
      <c r="B31" s="46" t="s">
        <v>15</v>
      </c>
      <c r="C31" s="138">
        <v>3.66666666666667</v>
      </c>
      <c r="D31" s="139" t="s">
        <v>15</v>
      </c>
      <c r="E31" s="138">
        <v>3.0</v>
      </c>
      <c r="F31" s="139" t="s">
        <v>15</v>
      </c>
      <c r="G31" s="141">
        <v>2.0</v>
      </c>
      <c r="H31" s="139" t="s">
        <v>15</v>
      </c>
      <c r="I31" s="138">
        <v>8.33333333333333</v>
      </c>
      <c r="J31" s="139" t="s">
        <v>15</v>
      </c>
      <c r="K31" s="138">
        <v>1.66666666666667</v>
      </c>
      <c r="L31" s="139" t="s">
        <v>15</v>
      </c>
      <c r="M31" s="138">
        <v>6.33333333333333</v>
      </c>
      <c r="N31" s="110"/>
      <c r="O31" s="2">
        <v>8.0</v>
      </c>
      <c r="P31" s="23" t="s">
        <v>15</v>
      </c>
      <c r="Q31" s="134">
        <f t="shared" si="14"/>
        <v>4.166666667</v>
      </c>
      <c r="R31" s="135">
        <f t="shared" si="15"/>
        <v>0.5208333333</v>
      </c>
      <c r="S31" s="136">
        <f t="shared" si="16"/>
        <v>0.1666666667</v>
      </c>
      <c r="T31" s="137">
        <f t="shared" si="17"/>
        <v>0.02083333333</v>
      </c>
    </row>
    <row r="32">
      <c r="A32" s="130"/>
      <c r="B32" s="46" t="s">
        <v>4</v>
      </c>
      <c r="C32" s="138">
        <v>13.0</v>
      </c>
      <c r="D32" s="139" t="s">
        <v>4</v>
      </c>
      <c r="E32" s="138">
        <v>3.66666666666667</v>
      </c>
      <c r="F32" s="139" t="s">
        <v>4</v>
      </c>
      <c r="G32" s="141">
        <v>2.66666666666667</v>
      </c>
      <c r="H32" s="139" t="s">
        <v>4</v>
      </c>
      <c r="I32" s="138">
        <v>7.0</v>
      </c>
      <c r="J32" s="141" t="s">
        <v>4</v>
      </c>
      <c r="K32" s="141"/>
      <c r="L32" s="139" t="s">
        <v>4</v>
      </c>
      <c r="M32" s="138">
        <v>7.0</v>
      </c>
      <c r="N32" s="110"/>
      <c r="O32" s="2">
        <v>17.0</v>
      </c>
      <c r="P32" s="23" t="s">
        <v>4</v>
      </c>
      <c r="Q32" s="134">
        <f t="shared" si="14"/>
        <v>5.555555556</v>
      </c>
      <c r="R32" s="135">
        <f t="shared" si="15"/>
        <v>0.3267973856</v>
      </c>
      <c r="S32" s="136">
        <f t="shared" si="16"/>
        <v>1</v>
      </c>
      <c r="T32" s="137">
        <f t="shared" si="17"/>
        <v>0.05882352941</v>
      </c>
    </row>
    <row r="33">
      <c r="A33" s="130"/>
      <c r="B33" s="46" t="s">
        <v>13</v>
      </c>
      <c r="C33" s="138">
        <v>3.66666666666667</v>
      </c>
      <c r="D33" s="139" t="s">
        <v>13</v>
      </c>
      <c r="E33" s="138">
        <v>1.33333333333333</v>
      </c>
      <c r="F33" s="139" t="s">
        <v>13</v>
      </c>
      <c r="G33" s="138">
        <v>0.666666666666667</v>
      </c>
      <c r="H33" s="139" t="s">
        <v>13</v>
      </c>
      <c r="I33" s="138">
        <v>5.0</v>
      </c>
      <c r="J33" s="141" t="s">
        <v>13</v>
      </c>
      <c r="K33" s="141"/>
      <c r="L33" s="139" t="s">
        <v>13</v>
      </c>
      <c r="M33" s="138">
        <v>2.33333333333333</v>
      </c>
      <c r="N33" s="110"/>
      <c r="O33" s="2">
        <v>10.0</v>
      </c>
      <c r="P33" s="23" t="s">
        <v>13</v>
      </c>
      <c r="Q33" s="134">
        <f t="shared" si="14"/>
        <v>2.166666667</v>
      </c>
      <c r="R33" s="135">
        <f t="shared" si="15"/>
        <v>0.2166666667</v>
      </c>
      <c r="S33" s="136">
        <f t="shared" si="16"/>
        <v>1</v>
      </c>
      <c r="T33" s="137">
        <f t="shared" si="17"/>
        <v>0.1</v>
      </c>
    </row>
    <row r="34">
      <c r="A34" s="130"/>
      <c r="B34" s="46" t="s">
        <v>23</v>
      </c>
      <c r="C34" s="138">
        <v>0.666666666666667</v>
      </c>
      <c r="D34" s="139" t="s">
        <v>23</v>
      </c>
      <c r="E34" s="138"/>
      <c r="F34" s="139" t="s">
        <v>23</v>
      </c>
      <c r="G34" s="141"/>
      <c r="H34" s="139" t="s">
        <v>23</v>
      </c>
      <c r="I34" s="138">
        <v>0.666666666666667</v>
      </c>
      <c r="J34" s="141" t="s">
        <v>23</v>
      </c>
      <c r="K34" s="141"/>
      <c r="L34" s="139" t="s">
        <v>23</v>
      </c>
      <c r="M34" s="138"/>
      <c r="N34" s="110"/>
      <c r="O34" s="2">
        <v>1.0</v>
      </c>
      <c r="P34" s="23" t="s">
        <v>23</v>
      </c>
      <c r="Q34" s="134">
        <f t="shared" si="14"/>
        <v>0.2222222222</v>
      </c>
      <c r="R34" s="135">
        <f t="shared" si="15"/>
        <v>0.2222222222</v>
      </c>
      <c r="S34" s="136">
        <f t="shared" si="16"/>
        <v>1</v>
      </c>
      <c r="T34" s="137">
        <f t="shared" si="17"/>
        <v>1</v>
      </c>
    </row>
    <row r="35">
      <c r="A35" s="130"/>
      <c r="B35" s="46" t="s">
        <v>88</v>
      </c>
      <c r="C35" s="138">
        <v>0.666666666666667</v>
      </c>
      <c r="D35" s="46" t="s">
        <v>88</v>
      </c>
      <c r="E35" s="138">
        <v>0.666666666666667</v>
      </c>
      <c r="F35" s="46" t="s">
        <v>88</v>
      </c>
      <c r="G35" s="138">
        <v>0.666666666666667</v>
      </c>
      <c r="H35" s="46" t="s">
        <v>88</v>
      </c>
      <c r="I35" s="138">
        <v>2.66</v>
      </c>
      <c r="J35" s="46" t="s">
        <v>88</v>
      </c>
      <c r="K35" s="138">
        <v>0.333333333333333</v>
      </c>
      <c r="L35" s="46" t="s">
        <v>88</v>
      </c>
      <c r="M35" s="138">
        <v>2.33</v>
      </c>
      <c r="N35" s="110"/>
      <c r="O35" s="2">
        <v>4.0</v>
      </c>
      <c r="P35" s="24" t="s">
        <v>88</v>
      </c>
      <c r="Q35" s="134">
        <f t="shared" si="14"/>
        <v>1.220555556</v>
      </c>
      <c r="R35" s="135">
        <f t="shared" si="15"/>
        <v>0.3051388889</v>
      </c>
      <c r="S35" s="136">
        <f t="shared" si="16"/>
        <v>0.5555555556</v>
      </c>
      <c r="T35" s="137">
        <f t="shared" si="17"/>
        <v>0.1388888889</v>
      </c>
    </row>
    <row r="36">
      <c r="A36" s="130"/>
      <c r="B36" s="46" t="s">
        <v>14</v>
      </c>
      <c r="C36" s="138">
        <v>1.33333333333333</v>
      </c>
      <c r="D36" s="139" t="s">
        <v>14</v>
      </c>
      <c r="E36" s="138"/>
      <c r="F36" s="139" t="s">
        <v>14</v>
      </c>
      <c r="G36" s="141"/>
      <c r="H36" s="139" t="s">
        <v>14</v>
      </c>
      <c r="I36" s="138">
        <v>7.0</v>
      </c>
      <c r="J36" s="139" t="s">
        <v>14</v>
      </c>
      <c r="K36" s="138">
        <v>0.333333333333333</v>
      </c>
      <c r="L36" s="139" t="s">
        <v>14</v>
      </c>
      <c r="M36" s="138">
        <v>3.66666666666667</v>
      </c>
      <c r="N36" s="110"/>
      <c r="O36" s="2">
        <v>9.0</v>
      </c>
      <c r="P36" s="23" t="s">
        <v>14</v>
      </c>
      <c r="Q36" s="134">
        <f t="shared" si="14"/>
        <v>2.055555556</v>
      </c>
      <c r="R36" s="135">
        <f t="shared" si="15"/>
        <v>0.2283950617</v>
      </c>
      <c r="S36" s="136">
        <f t="shared" si="16"/>
        <v>0.8888888889</v>
      </c>
      <c r="T36" s="137">
        <f t="shared" si="17"/>
        <v>0.0987654321</v>
      </c>
    </row>
    <row r="37">
      <c r="A37" s="130"/>
      <c r="B37" s="46" t="s">
        <v>2</v>
      </c>
      <c r="C37" s="138">
        <v>3.0</v>
      </c>
      <c r="D37" s="139" t="s">
        <v>2</v>
      </c>
      <c r="E37" s="138">
        <v>1.33333333333333</v>
      </c>
      <c r="F37" s="139" t="s">
        <v>2</v>
      </c>
      <c r="G37" s="138">
        <v>1.66666666666667</v>
      </c>
      <c r="H37" s="139" t="s">
        <v>2</v>
      </c>
      <c r="I37" s="138">
        <v>12.3333333333333</v>
      </c>
      <c r="J37" s="139" t="s">
        <v>2</v>
      </c>
      <c r="K37" s="138">
        <v>1.0</v>
      </c>
      <c r="L37" s="139" t="s">
        <v>2</v>
      </c>
      <c r="M37" s="138">
        <v>4.66666666666667</v>
      </c>
      <c r="N37" s="110"/>
      <c r="O37" s="2">
        <v>20.0</v>
      </c>
      <c r="P37" s="23" t="s">
        <v>2</v>
      </c>
      <c r="Q37" s="134">
        <f t="shared" si="14"/>
        <v>4</v>
      </c>
      <c r="R37" s="135">
        <f t="shared" si="15"/>
        <v>0.2</v>
      </c>
      <c r="S37" s="136">
        <f t="shared" si="16"/>
        <v>1.833333333</v>
      </c>
      <c r="T37" s="137">
        <f t="shared" si="17"/>
        <v>0.09166666667</v>
      </c>
    </row>
    <row r="38">
      <c r="A38" s="130"/>
      <c r="B38" s="46" t="s">
        <v>7</v>
      </c>
      <c r="C38" s="138">
        <v>7.66666666666667</v>
      </c>
      <c r="D38" s="139" t="s">
        <v>7</v>
      </c>
      <c r="E38" s="138">
        <v>14.3333333333333</v>
      </c>
      <c r="F38" s="139" t="s">
        <v>7</v>
      </c>
      <c r="G38" s="138">
        <v>13.0</v>
      </c>
      <c r="H38" s="139" t="s">
        <v>7</v>
      </c>
      <c r="I38" s="138">
        <v>38.3333333333333</v>
      </c>
      <c r="J38" s="139" t="s">
        <v>7</v>
      </c>
      <c r="K38" s="138">
        <v>10.6666666666667</v>
      </c>
      <c r="L38" s="139" t="s">
        <v>7</v>
      </c>
      <c r="M38" s="138">
        <v>24.6666666666667</v>
      </c>
      <c r="N38" s="110"/>
      <c r="O38" s="2">
        <v>15.0</v>
      </c>
      <c r="P38" s="23" t="s">
        <v>7</v>
      </c>
      <c r="Q38" s="134">
        <f t="shared" si="14"/>
        <v>18.11111111</v>
      </c>
      <c r="R38" s="135">
        <f t="shared" si="15"/>
        <v>1.207407407</v>
      </c>
      <c r="S38" s="136">
        <f t="shared" si="16"/>
        <v>1.722222222</v>
      </c>
      <c r="T38" s="137">
        <f t="shared" si="17"/>
        <v>0.1148148148</v>
      </c>
    </row>
    <row r="39">
      <c r="A39" s="130"/>
      <c r="B39" s="46" t="s">
        <v>18</v>
      </c>
      <c r="C39" s="138">
        <v>1.0</v>
      </c>
      <c r="D39" s="139" t="s">
        <v>18</v>
      </c>
      <c r="E39" s="138">
        <v>0.333333333333333</v>
      </c>
      <c r="F39" s="139" t="s">
        <v>18</v>
      </c>
      <c r="G39" s="141"/>
      <c r="H39" s="139" t="s">
        <v>18</v>
      </c>
      <c r="I39" s="138">
        <v>2.0</v>
      </c>
      <c r="J39" s="139" t="s">
        <v>18</v>
      </c>
      <c r="K39" s="138">
        <v>0.333333333333333</v>
      </c>
      <c r="L39" s="139" t="s">
        <v>18</v>
      </c>
      <c r="M39" s="138">
        <v>2.66666666666667</v>
      </c>
      <c r="N39" s="110"/>
      <c r="O39" s="2">
        <v>5.0</v>
      </c>
      <c r="P39" s="23" t="s">
        <v>18</v>
      </c>
      <c r="Q39" s="134">
        <f t="shared" si="14"/>
        <v>1.055555556</v>
      </c>
      <c r="R39" s="135">
        <f t="shared" si="15"/>
        <v>0.2111111111</v>
      </c>
      <c r="S39" s="136">
        <f t="shared" si="16"/>
        <v>1.444444444</v>
      </c>
      <c r="T39" s="137">
        <f t="shared" si="17"/>
        <v>0.2888888889</v>
      </c>
    </row>
    <row r="40">
      <c r="A40" s="130"/>
      <c r="B40" s="46" t="s">
        <v>5</v>
      </c>
      <c r="C40" s="138">
        <v>5.0</v>
      </c>
      <c r="D40" s="139" t="s">
        <v>5</v>
      </c>
      <c r="E40" s="138">
        <v>1.33333333333333</v>
      </c>
      <c r="F40" s="139" t="s">
        <v>5</v>
      </c>
      <c r="G40" s="138">
        <v>3.33333333333333</v>
      </c>
      <c r="H40" s="139" t="s">
        <v>5</v>
      </c>
      <c r="I40" s="138">
        <v>14.0</v>
      </c>
      <c r="J40" s="139" t="s">
        <v>5</v>
      </c>
      <c r="K40" s="138">
        <v>2.33333333333333</v>
      </c>
      <c r="L40" s="139" t="s">
        <v>5</v>
      </c>
      <c r="M40" s="138">
        <v>11.6666666666667</v>
      </c>
      <c r="N40" s="110"/>
      <c r="O40" s="2">
        <v>16.0</v>
      </c>
      <c r="P40" s="23" t="s">
        <v>5</v>
      </c>
      <c r="Q40" s="134">
        <f t="shared" si="14"/>
        <v>6.277777778</v>
      </c>
      <c r="R40" s="135">
        <f t="shared" si="15"/>
        <v>0.3923611111</v>
      </c>
      <c r="S40" s="136">
        <f t="shared" si="16"/>
        <v>3.722222222</v>
      </c>
      <c r="T40" s="137">
        <f t="shared" si="17"/>
        <v>0.2326388889</v>
      </c>
    </row>
    <row r="41">
      <c r="A41" s="130"/>
      <c r="B41" s="46" t="s">
        <v>8</v>
      </c>
      <c r="C41" s="138">
        <v>5.33333333333333</v>
      </c>
      <c r="D41" s="139" t="s">
        <v>8</v>
      </c>
      <c r="E41" s="138"/>
      <c r="F41" s="139" t="s">
        <v>8</v>
      </c>
      <c r="G41" s="138">
        <v>0.333333333333333</v>
      </c>
      <c r="H41" s="139" t="s">
        <v>8</v>
      </c>
      <c r="I41" s="138">
        <v>13.3333333333333</v>
      </c>
      <c r="J41" s="141" t="s">
        <v>8</v>
      </c>
      <c r="K41" s="141"/>
      <c r="L41" s="139" t="s">
        <v>8</v>
      </c>
      <c r="M41" s="138">
        <v>6.33333333333333</v>
      </c>
      <c r="N41" s="110"/>
      <c r="O41" s="2">
        <v>15.0</v>
      </c>
      <c r="P41" s="23" t="s">
        <v>8</v>
      </c>
      <c r="Q41" s="134">
        <f t="shared" si="14"/>
        <v>4.222222222</v>
      </c>
      <c r="R41" s="135">
        <f t="shared" si="15"/>
        <v>0.2814814815</v>
      </c>
      <c r="S41" s="136">
        <f t="shared" si="16"/>
        <v>1.111111111</v>
      </c>
      <c r="T41" s="137">
        <f t="shared" si="17"/>
        <v>0.07407407407</v>
      </c>
    </row>
    <row r="42">
      <c r="A42" s="130"/>
      <c r="B42" s="46" t="s">
        <v>9</v>
      </c>
      <c r="C42" s="138">
        <v>4.66666666666667</v>
      </c>
      <c r="D42" s="139" t="s">
        <v>9</v>
      </c>
      <c r="E42" s="138">
        <v>2.33333333333333</v>
      </c>
      <c r="F42" s="139" t="s">
        <v>9</v>
      </c>
      <c r="G42" s="138">
        <v>1.66666666666667</v>
      </c>
      <c r="H42" s="139" t="s">
        <v>9</v>
      </c>
      <c r="I42" s="138">
        <v>7.0</v>
      </c>
      <c r="J42" s="139" t="s">
        <v>9</v>
      </c>
      <c r="K42" s="138">
        <v>1.33333333333333</v>
      </c>
      <c r="L42" s="139" t="s">
        <v>9</v>
      </c>
      <c r="M42" s="138">
        <v>2.0</v>
      </c>
      <c r="N42" s="110"/>
      <c r="O42" s="2">
        <v>15.0</v>
      </c>
      <c r="P42" s="23" t="s">
        <v>9</v>
      </c>
      <c r="Q42" s="134">
        <f t="shared" si="14"/>
        <v>3.166666667</v>
      </c>
      <c r="R42" s="135">
        <f t="shared" si="15"/>
        <v>0.2111111111</v>
      </c>
      <c r="S42" s="136">
        <f t="shared" si="16"/>
        <v>0.8888888889</v>
      </c>
      <c r="T42" s="137">
        <f t="shared" si="17"/>
        <v>0.05925925926</v>
      </c>
    </row>
    <row r="43">
      <c r="A43" s="130"/>
      <c r="B43" s="46" t="s">
        <v>6</v>
      </c>
      <c r="C43" s="138">
        <v>6.0</v>
      </c>
      <c r="D43" s="139" t="s">
        <v>6</v>
      </c>
      <c r="E43" s="138">
        <v>4.66666666666667</v>
      </c>
      <c r="F43" s="139" t="s">
        <v>6</v>
      </c>
      <c r="G43" s="138">
        <v>2.0</v>
      </c>
      <c r="H43" s="139" t="s">
        <v>6</v>
      </c>
      <c r="I43" s="138">
        <v>9.0</v>
      </c>
      <c r="J43" s="139" t="s">
        <v>6</v>
      </c>
      <c r="K43" s="138">
        <v>2.66666666666667</v>
      </c>
      <c r="L43" s="139" t="s">
        <v>6</v>
      </c>
      <c r="M43" s="138">
        <v>7.66666666666667</v>
      </c>
      <c r="N43" s="110"/>
      <c r="O43" s="2">
        <v>16.0</v>
      </c>
      <c r="P43" s="23" t="s">
        <v>6</v>
      </c>
      <c r="Q43" s="134">
        <f t="shared" si="14"/>
        <v>5.333333333</v>
      </c>
      <c r="R43" s="135">
        <f t="shared" si="15"/>
        <v>0.3333333333</v>
      </c>
      <c r="S43" s="136">
        <f t="shared" si="16"/>
        <v>1.611111111</v>
      </c>
      <c r="T43" s="137">
        <f t="shared" si="17"/>
        <v>0.1006944444</v>
      </c>
    </row>
    <row r="44">
      <c r="A44" s="130"/>
      <c r="B44" s="46" t="s">
        <v>20</v>
      </c>
      <c r="C44" s="138">
        <v>0.333333333333333</v>
      </c>
      <c r="D44" s="139" t="s">
        <v>20</v>
      </c>
      <c r="E44" s="138">
        <v>0.666666666666667</v>
      </c>
      <c r="F44" s="139" t="s">
        <v>20</v>
      </c>
      <c r="G44" s="138">
        <v>0.333333333333333</v>
      </c>
      <c r="H44" s="139" t="s">
        <v>20</v>
      </c>
      <c r="I44" s="138">
        <v>0.333333333333333</v>
      </c>
      <c r="J44" s="139" t="s">
        <v>20</v>
      </c>
      <c r="K44" s="138">
        <v>0.333333333333333</v>
      </c>
      <c r="L44" s="139" t="s">
        <v>20</v>
      </c>
      <c r="M44" s="138">
        <v>1.33333333333333</v>
      </c>
      <c r="N44" s="110"/>
      <c r="O44" s="2">
        <v>3.0</v>
      </c>
      <c r="P44" s="23" t="s">
        <v>20</v>
      </c>
      <c r="Q44" s="134">
        <f t="shared" si="14"/>
        <v>0.5555555556</v>
      </c>
      <c r="R44" s="135">
        <f t="shared" si="15"/>
        <v>0.1851851852</v>
      </c>
      <c r="S44" s="136">
        <f t="shared" si="16"/>
        <v>0.4444444444</v>
      </c>
      <c r="T44" s="137">
        <f t="shared" si="17"/>
        <v>0.1481481481</v>
      </c>
    </row>
    <row r="45">
      <c r="A45" s="130"/>
      <c r="B45" s="46" t="s">
        <v>16</v>
      </c>
      <c r="C45" s="138">
        <v>4.66666666666667</v>
      </c>
      <c r="D45" s="139" t="s">
        <v>16</v>
      </c>
      <c r="E45" s="138">
        <v>3.66666666666667</v>
      </c>
      <c r="F45" s="139" t="s">
        <v>16</v>
      </c>
      <c r="G45" s="138">
        <v>3.33333333333333</v>
      </c>
      <c r="H45" s="139" t="s">
        <v>16</v>
      </c>
      <c r="I45" s="138">
        <v>7.33333333333333</v>
      </c>
      <c r="J45" s="139" t="s">
        <v>16</v>
      </c>
      <c r="K45" s="138">
        <v>2.66666666666667</v>
      </c>
      <c r="L45" s="139" t="s">
        <v>16</v>
      </c>
      <c r="M45" s="138">
        <v>5.66666666666667</v>
      </c>
      <c r="N45" s="110"/>
      <c r="O45" s="2">
        <v>8.0</v>
      </c>
      <c r="P45" s="23" t="s">
        <v>16</v>
      </c>
      <c r="Q45" s="134">
        <f t="shared" si="14"/>
        <v>4.555555556</v>
      </c>
      <c r="R45" s="135">
        <f t="shared" si="15"/>
        <v>0.5694444444</v>
      </c>
      <c r="S45" s="136">
        <f t="shared" si="16"/>
        <v>1.444444444</v>
      </c>
      <c r="T45" s="137">
        <f t="shared" si="17"/>
        <v>0.1805555556</v>
      </c>
    </row>
    <row r="46">
      <c r="A46" s="130"/>
      <c r="B46" s="59" t="s">
        <v>11</v>
      </c>
      <c r="C46" s="142">
        <v>2.66666666666667</v>
      </c>
      <c r="D46" s="143" t="s">
        <v>11</v>
      </c>
      <c r="E46" s="142">
        <v>0.666666666666667</v>
      </c>
      <c r="F46" s="143" t="s">
        <v>11</v>
      </c>
      <c r="G46" s="138">
        <v>0.333333333333333</v>
      </c>
      <c r="H46" s="143" t="s">
        <v>11</v>
      </c>
      <c r="I46" s="142">
        <v>6.33333333333333</v>
      </c>
      <c r="J46" s="139" t="s">
        <v>11</v>
      </c>
      <c r="K46" s="138"/>
      <c r="L46" s="143" t="s">
        <v>11</v>
      </c>
      <c r="M46" s="142">
        <v>2.66666666666667</v>
      </c>
      <c r="N46" s="110"/>
      <c r="O46" s="2">
        <v>13.0</v>
      </c>
      <c r="P46" s="23" t="s">
        <v>11</v>
      </c>
      <c r="Q46" s="134">
        <f t="shared" si="14"/>
        <v>2.111111111</v>
      </c>
      <c r="R46" s="135">
        <f t="shared" si="15"/>
        <v>0.1623931624</v>
      </c>
      <c r="S46" s="136">
        <f t="shared" si="16"/>
        <v>0.7222222222</v>
      </c>
      <c r="T46" s="137">
        <f t="shared" si="17"/>
        <v>0.05555555556</v>
      </c>
    </row>
    <row r="47">
      <c r="A47" s="129" t="s">
        <v>68</v>
      </c>
      <c r="B47" s="101" t="s">
        <v>31</v>
      </c>
      <c r="C47" s="102"/>
      <c r="D47" s="101" t="s">
        <v>32</v>
      </c>
      <c r="E47" s="102"/>
      <c r="F47" s="101" t="s">
        <v>33</v>
      </c>
      <c r="G47" s="102"/>
      <c r="H47" s="101" t="s">
        <v>34</v>
      </c>
      <c r="I47" s="102"/>
      <c r="J47" s="101" t="s">
        <v>35</v>
      </c>
      <c r="K47" s="102"/>
      <c r="L47" s="101" t="s">
        <v>36</v>
      </c>
      <c r="M47" s="102"/>
      <c r="O47" s="144">
        <v>1.0</v>
      </c>
      <c r="P47" s="6" t="s">
        <v>26</v>
      </c>
      <c r="Q47" s="134">
        <v>0.0</v>
      </c>
      <c r="R47" s="135">
        <f t="shared" si="15"/>
        <v>0</v>
      </c>
      <c r="S47" s="136">
        <f>0</f>
        <v>0</v>
      </c>
      <c r="T47" s="137">
        <f>S47/O46</f>
        <v>0</v>
      </c>
    </row>
    <row r="48">
      <c r="A48" s="130"/>
      <c r="B48" s="20" t="s">
        <v>40</v>
      </c>
      <c r="C48" s="21" t="s">
        <v>78</v>
      </c>
      <c r="D48" s="20" t="s">
        <v>40</v>
      </c>
      <c r="E48" s="21" t="s">
        <v>78</v>
      </c>
      <c r="F48" s="20" t="s">
        <v>40</v>
      </c>
      <c r="G48" s="21" t="s">
        <v>78</v>
      </c>
      <c r="H48" s="20" t="s">
        <v>40</v>
      </c>
      <c r="I48" s="21" t="s">
        <v>78</v>
      </c>
      <c r="J48" s="20" t="s">
        <v>40</v>
      </c>
      <c r="K48" s="21" t="s">
        <v>78</v>
      </c>
      <c r="L48" s="20" t="s">
        <v>40</v>
      </c>
      <c r="M48" s="21" t="s">
        <v>78</v>
      </c>
    </row>
    <row r="49">
      <c r="A49" s="130"/>
      <c r="B49" s="131" t="s">
        <v>3</v>
      </c>
      <c r="C49" s="132">
        <v>1.66666666666667</v>
      </c>
      <c r="D49" s="145" t="s">
        <v>3</v>
      </c>
      <c r="E49" s="146"/>
      <c r="F49" s="131" t="s">
        <v>3</v>
      </c>
      <c r="G49" s="132">
        <v>2.0</v>
      </c>
      <c r="H49" s="145" t="s">
        <v>3</v>
      </c>
      <c r="I49" s="146">
        <v>2.66666666666667</v>
      </c>
      <c r="J49" s="131" t="s">
        <v>3</v>
      </c>
      <c r="K49" s="132">
        <v>0.666666666666667</v>
      </c>
      <c r="L49" s="145" t="s">
        <v>3</v>
      </c>
      <c r="M49" s="132">
        <v>3.33333333333333</v>
      </c>
    </row>
    <row r="50">
      <c r="A50" s="130"/>
      <c r="B50" s="46" t="s">
        <v>10</v>
      </c>
      <c r="C50" s="138">
        <v>0.666666666666667</v>
      </c>
      <c r="D50" s="47" t="s">
        <v>10</v>
      </c>
      <c r="E50" s="141">
        <v>0.333333333333333</v>
      </c>
      <c r="F50" s="46" t="s">
        <v>10</v>
      </c>
      <c r="G50" s="138">
        <v>1.0</v>
      </c>
      <c r="H50" s="47" t="s">
        <v>10</v>
      </c>
      <c r="I50" s="141">
        <v>2.0</v>
      </c>
      <c r="J50" s="46" t="s">
        <v>10</v>
      </c>
      <c r="K50" s="138">
        <v>1.33333333333333</v>
      </c>
      <c r="L50" s="47" t="s">
        <v>10</v>
      </c>
      <c r="M50" s="138">
        <v>3.33333333333333</v>
      </c>
    </row>
    <row r="51">
      <c r="A51" s="130"/>
      <c r="B51" s="46" t="s">
        <v>17</v>
      </c>
      <c r="C51" s="138"/>
      <c r="D51" s="47" t="s">
        <v>17</v>
      </c>
      <c r="E51" s="140"/>
      <c r="F51" s="46" t="s">
        <v>17</v>
      </c>
      <c r="H51" s="47" t="s">
        <v>17</v>
      </c>
      <c r="I51" s="141">
        <v>0.666666666666667</v>
      </c>
      <c r="J51" s="46" t="s">
        <v>17</v>
      </c>
      <c r="K51" s="138">
        <v>0.333333333333333</v>
      </c>
      <c r="L51" s="47" t="s">
        <v>17</v>
      </c>
      <c r="M51" s="138">
        <v>2.0</v>
      </c>
    </row>
    <row r="52">
      <c r="A52" s="130"/>
      <c r="B52" s="46" t="s">
        <v>12</v>
      </c>
      <c r="C52" s="138">
        <v>0.666666666666667</v>
      </c>
      <c r="D52" s="47" t="s">
        <v>12</v>
      </c>
      <c r="E52" s="141">
        <v>0.666666666666667</v>
      </c>
      <c r="F52" s="46" t="s">
        <v>12</v>
      </c>
      <c r="G52" s="138">
        <v>2.33333333333333</v>
      </c>
      <c r="H52" s="47" t="s">
        <v>12</v>
      </c>
      <c r="I52" s="141">
        <v>1.33333333333333</v>
      </c>
      <c r="J52" s="46" t="s">
        <v>12</v>
      </c>
      <c r="L52" s="47" t="s">
        <v>12</v>
      </c>
      <c r="M52" s="138">
        <v>0.333333333333333</v>
      </c>
    </row>
    <row r="53">
      <c r="A53" s="130"/>
      <c r="B53" s="46" t="s">
        <v>21</v>
      </c>
      <c r="C53" s="138">
        <v>0.333333333333333</v>
      </c>
      <c r="D53" s="47" t="s">
        <v>21</v>
      </c>
      <c r="E53" s="141">
        <v>0.333333333333333</v>
      </c>
      <c r="F53" s="46" t="s">
        <v>21</v>
      </c>
      <c r="H53" s="47" t="s">
        <v>21</v>
      </c>
      <c r="I53" s="141">
        <v>0.666666666666667</v>
      </c>
      <c r="J53" s="46" t="s">
        <v>21</v>
      </c>
      <c r="L53" s="47" t="s">
        <v>21</v>
      </c>
      <c r="M53" s="138">
        <v>0.333333333333333</v>
      </c>
    </row>
    <row r="54">
      <c r="A54" s="130"/>
      <c r="B54" s="46" t="s">
        <v>22</v>
      </c>
      <c r="C54" s="138"/>
      <c r="D54" s="47" t="s">
        <v>22</v>
      </c>
      <c r="E54" s="141"/>
      <c r="F54" s="46" t="s">
        <v>22</v>
      </c>
      <c r="H54" s="47" t="s">
        <v>22</v>
      </c>
      <c r="J54" s="46" t="s">
        <v>22</v>
      </c>
      <c r="L54" s="47" t="s">
        <v>22</v>
      </c>
      <c r="M54" s="138"/>
    </row>
    <row r="55">
      <c r="A55" s="130"/>
      <c r="B55" s="46" t="s">
        <v>15</v>
      </c>
      <c r="C55" s="138"/>
      <c r="D55" s="47" t="s">
        <v>15</v>
      </c>
      <c r="E55" s="141"/>
      <c r="F55" s="46" t="s">
        <v>15</v>
      </c>
      <c r="H55" s="47" t="s">
        <v>15</v>
      </c>
      <c r="I55" s="141">
        <v>0.666666666666667</v>
      </c>
      <c r="J55" s="46" t="s">
        <v>15</v>
      </c>
      <c r="K55" s="138">
        <v>0.333333333333333</v>
      </c>
      <c r="L55" s="47" t="s">
        <v>15</v>
      </c>
      <c r="M55" s="138"/>
    </row>
    <row r="56">
      <c r="A56" s="130"/>
      <c r="B56" s="46" t="s">
        <v>4</v>
      </c>
      <c r="C56" s="138"/>
      <c r="D56" s="47" t="s">
        <v>4</v>
      </c>
      <c r="E56" s="141">
        <v>0.333333333333333</v>
      </c>
      <c r="F56" s="46" t="s">
        <v>4</v>
      </c>
      <c r="G56" s="138">
        <v>2.0</v>
      </c>
      <c r="H56" s="47" t="s">
        <v>4</v>
      </c>
      <c r="I56" s="141">
        <v>1.66666666666667</v>
      </c>
      <c r="J56" s="46" t="s">
        <v>4</v>
      </c>
      <c r="K56" s="138">
        <v>0.666666666666667</v>
      </c>
      <c r="L56" s="47" t="s">
        <v>4</v>
      </c>
      <c r="M56" s="138">
        <v>1.33333333333333</v>
      </c>
    </row>
    <row r="57">
      <c r="A57" s="130"/>
      <c r="B57" s="46" t="s">
        <v>13</v>
      </c>
      <c r="C57" s="138">
        <v>1.33333333333333</v>
      </c>
      <c r="D57" s="47" t="s">
        <v>13</v>
      </c>
      <c r="E57" s="141"/>
      <c r="F57" s="46" t="s">
        <v>13</v>
      </c>
      <c r="G57" s="138">
        <v>0.666666666666667</v>
      </c>
      <c r="H57" s="47" t="s">
        <v>13</v>
      </c>
      <c r="I57" s="141">
        <v>2.0</v>
      </c>
      <c r="J57" s="46" t="s">
        <v>13</v>
      </c>
      <c r="K57" s="138">
        <v>1.0</v>
      </c>
      <c r="L57" s="47" t="s">
        <v>13</v>
      </c>
      <c r="M57" s="138">
        <v>1.0</v>
      </c>
    </row>
    <row r="58">
      <c r="A58" s="130"/>
      <c r="B58" s="46" t="s">
        <v>23</v>
      </c>
      <c r="C58" s="138">
        <v>0.333333333333333</v>
      </c>
      <c r="D58" s="47" t="s">
        <v>23</v>
      </c>
      <c r="E58" s="141">
        <v>0.333333333333333</v>
      </c>
      <c r="F58" s="46" t="s">
        <v>23</v>
      </c>
      <c r="G58" s="138">
        <v>0.666666666666667</v>
      </c>
      <c r="H58" s="47" t="s">
        <v>23</v>
      </c>
      <c r="I58" s="141">
        <v>1.66666666666667</v>
      </c>
      <c r="J58" s="46" t="s">
        <v>23</v>
      </c>
      <c r="K58" s="138">
        <v>0.666666666666667</v>
      </c>
      <c r="L58" s="47" t="s">
        <v>23</v>
      </c>
      <c r="M58" s="138">
        <v>2.33333333333333</v>
      </c>
    </row>
    <row r="59">
      <c r="A59" s="130"/>
      <c r="B59" s="46" t="s">
        <v>88</v>
      </c>
      <c r="C59" s="138">
        <v>0.333333333333333</v>
      </c>
      <c r="D59" s="46" t="s">
        <v>88</v>
      </c>
      <c r="E59" s="141"/>
      <c r="F59" s="46" t="s">
        <v>88</v>
      </c>
      <c r="G59" s="138">
        <v>0.666666666666667</v>
      </c>
      <c r="H59" s="46" t="s">
        <v>88</v>
      </c>
      <c r="I59" s="141">
        <v>0.333333333333333</v>
      </c>
      <c r="J59" s="46" t="s">
        <v>88</v>
      </c>
      <c r="K59" s="141">
        <v>0.666666666666667</v>
      </c>
      <c r="L59" s="46" t="s">
        <v>88</v>
      </c>
      <c r="M59" s="138">
        <v>1.33333333333333</v>
      </c>
    </row>
    <row r="60">
      <c r="A60" s="130"/>
      <c r="B60" s="46" t="s">
        <v>14</v>
      </c>
      <c r="C60" s="138">
        <v>1.0</v>
      </c>
      <c r="D60" s="47" t="s">
        <v>14</v>
      </c>
      <c r="E60" s="141"/>
      <c r="F60" s="46" t="s">
        <v>14</v>
      </c>
      <c r="G60" s="138">
        <v>0.333333333333333</v>
      </c>
      <c r="H60" s="47" t="s">
        <v>14</v>
      </c>
      <c r="I60" s="141">
        <v>3.33333333333333</v>
      </c>
      <c r="J60" s="46" t="s">
        <v>14</v>
      </c>
      <c r="L60" s="47" t="s">
        <v>14</v>
      </c>
      <c r="M60" s="138">
        <v>0.666666666666667</v>
      </c>
    </row>
    <row r="61">
      <c r="A61" s="130"/>
      <c r="B61" s="46" t="s">
        <v>2</v>
      </c>
      <c r="C61" s="138">
        <v>1.0</v>
      </c>
      <c r="D61" s="47" t="s">
        <v>2</v>
      </c>
      <c r="E61" s="141">
        <v>0.666666666666667</v>
      </c>
      <c r="F61" s="46" t="s">
        <v>2</v>
      </c>
      <c r="G61" s="138">
        <v>2.33333333333333</v>
      </c>
      <c r="H61" s="47" t="s">
        <v>2</v>
      </c>
      <c r="I61" s="141">
        <v>4.0</v>
      </c>
      <c r="J61" s="46" t="s">
        <v>2</v>
      </c>
      <c r="K61" s="138">
        <v>0.333333333333333</v>
      </c>
      <c r="L61" s="47" t="s">
        <v>2</v>
      </c>
      <c r="M61" s="138">
        <v>2.66666666666667</v>
      </c>
    </row>
    <row r="62">
      <c r="A62" s="130"/>
      <c r="B62" s="46" t="s">
        <v>7</v>
      </c>
      <c r="C62" s="138">
        <v>1.0</v>
      </c>
      <c r="D62" s="47" t="s">
        <v>7</v>
      </c>
      <c r="E62" s="141">
        <v>0.333333333333333</v>
      </c>
      <c r="F62" s="46" t="s">
        <v>7</v>
      </c>
      <c r="G62" s="138">
        <v>0.666666666666667</v>
      </c>
      <c r="H62" s="47" t="s">
        <v>7</v>
      </c>
      <c r="I62" s="141">
        <v>3.66666666666667</v>
      </c>
      <c r="J62" s="46" t="s">
        <v>7</v>
      </c>
      <c r="K62" s="138">
        <v>1.33333333333333</v>
      </c>
      <c r="L62" s="47" t="s">
        <v>7</v>
      </c>
      <c r="M62" s="138">
        <v>3.33333333333333</v>
      </c>
    </row>
    <row r="63">
      <c r="A63" s="130"/>
      <c r="B63" s="46" t="s">
        <v>18</v>
      </c>
      <c r="C63" s="138">
        <v>1.33333333333333</v>
      </c>
      <c r="D63" s="47" t="s">
        <v>18</v>
      </c>
      <c r="E63" s="141">
        <v>0.333333333333333</v>
      </c>
      <c r="F63" s="46" t="s">
        <v>18</v>
      </c>
      <c r="G63" s="138">
        <v>0.333333333333333</v>
      </c>
      <c r="H63" s="47" t="s">
        <v>18</v>
      </c>
      <c r="I63" s="141">
        <v>3.33333333333333</v>
      </c>
      <c r="J63" s="46" t="s">
        <v>18</v>
      </c>
      <c r="L63" s="47" t="s">
        <v>18</v>
      </c>
      <c r="M63" s="138">
        <v>3.33333333333333</v>
      </c>
    </row>
    <row r="64">
      <c r="A64" s="130"/>
      <c r="B64" s="46" t="s">
        <v>5</v>
      </c>
      <c r="C64" s="138">
        <v>2.0</v>
      </c>
      <c r="D64" s="47" t="s">
        <v>5</v>
      </c>
      <c r="E64" s="141">
        <v>2.33333333333333</v>
      </c>
      <c r="F64" s="46" t="s">
        <v>5</v>
      </c>
      <c r="G64" s="138">
        <v>3.0</v>
      </c>
      <c r="H64" s="47" t="s">
        <v>5</v>
      </c>
      <c r="I64" s="141">
        <v>9.0</v>
      </c>
      <c r="J64" s="46" t="s">
        <v>5</v>
      </c>
      <c r="K64" s="138">
        <v>2.66666666666667</v>
      </c>
      <c r="L64" s="47" t="s">
        <v>5</v>
      </c>
      <c r="M64" s="138">
        <v>3.33333333333333</v>
      </c>
    </row>
    <row r="65">
      <c r="A65" s="130"/>
      <c r="B65" s="46" t="s">
        <v>8</v>
      </c>
      <c r="C65" s="138">
        <v>0.666666666666667</v>
      </c>
      <c r="D65" s="47" t="s">
        <v>8</v>
      </c>
      <c r="E65" s="140"/>
      <c r="F65" s="46" t="s">
        <v>8</v>
      </c>
      <c r="G65" s="138">
        <v>0.333333333333333</v>
      </c>
      <c r="H65" s="47" t="s">
        <v>8</v>
      </c>
      <c r="I65" s="141">
        <v>4.33333333333333</v>
      </c>
      <c r="J65" s="46" t="s">
        <v>8</v>
      </c>
      <c r="K65" s="138">
        <v>0.333333333333333</v>
      </c>
      <c r="L65" s="47" t="s">
        <v>8</v>
      </c>
      <c r="M65" s="138">
        <v>1.0</v>
      </c>
    </row>
    <row r="66">
      <c r="A66" s="130"/>
      <c r="B66" s="46" t="s">
        <v>9</v>
      </c>
      <c r="C66" s="138">
        <v>1.33333333333333</v>
      </c>
      <c r="D66" s="47" t="s">
        <v>9</v>
      </c>
      <c r="E66" s="141">
        <v>0.333333333333333</v>
      </c>
      <c r="F66" s="46" t="s">
        <v>9</v>
      </c>
      <c r="G66" s="138">
        <v>0.333333333333333</v>
      </c>
      <c r="H66" s="47" t="s">
        <v>9</v>
      </c>
      <c r="I66" s="141">
        <v>1.33333333333333</v>
      </c>
      <c r="J66" s="46" t="s">
        <v>9</v>
      </c>
      <c r="K66" s="138">
        <v>1.0</v>
      </c>
      <c r="L66" s="47" t="s">
        <v>9</v>
      </c>
      <c r="M66" s="138">
        <v>1.0</v>
      </c>
    </row>
    <row r="67">
      <c r="A67" s="130"/>
      <c r="B67" s="46" t="s">
        <v>6</v>
      </c>
      <c r="C67" s="138">
        <v>0.666666666666667</v>
      </c>
      <c r="D67" s="47" t="s">
        <v>6</v>
      </c>
      <c r="E67" s="141">
        <v>0.333333333333333</v>
      </c>
      <c r="F67" s="46" t="s">
        <v>6</v>
      </c>
      <c r="G67" s="138">
        <v>2.66666666666667</v>
      </c>
      <c r="H67" s="47" t="s">
        <v>6</v>
      </c>
      <c r="I67" s="141">
        <v>2.66666666666667</v>
      </c>
      <c r="J67" s="46" t="s">
        <v>6</v>
      </c>
      <c r="K67" s="138">
        <v>0.333333333333333</v>
      </c>
      <c r="L67" s="47" t="s">
        <v>6</v>
      </c>
      <c r="M67" s="138">
        <v>3.0</v>
      </c>
    </row>
    <row r="68">
      <c r="A68" s="130"/>
      <c r="B68" s="46" t="s">
        <v>20</v>
      </c>
      <c r="C68" s="138">
        <v>0.666666666666667</v>
      </c>
      <c r="D68" s="47" t="s">
        <v>20</v>
      </c>
      <c r="E68" s="141"/>
      <c r="F68" s="46" t="s">
        <v>20</v>
      </c>
      <c r="H68" s="47" t="s">
        <v>20</v>
      </c>
      <c r="I68" s="141">
        <v>1.0</v>
      </c>
      <c r="J68" s="46" t="s">
        <v>20</v>
      </c>
      <c r="K68" s="138">
        <v>0.666666666666667</v>
      </c>
      <c r="L68" s="47" t="s">
        <v>20</v>
      </c>
      <c r="M68" s="138">
        <v>0.333333333333333</v>
      </c>
    </row>
    <row r="69">
      <c r="A69" s="130"/>
      <c r="B69" s="46" t="s">
        <v>16</v>
      </c>
      <c r="C69" s="138">
        <v>1.0</v>
      </c>
      <c r="D69" s="47" t="s">
        <v>16</v>
      </c>
      <c r="E69" s="141">
        <v>0.333333333333333</v>
      </c>
      <c r="F69" s="46" t="s">
        <v>16</v>
      </c>
      <c r="G69" s="138">
        <v>0.666666666666667</v>
      </c>
      <c r="H69" s="47" t="s">
        <v>16</v>
      </c>
      <c r="I69" s="141">
        <v>3.66666666666667</v>
      </c>
      <c r="J69" s="46" t="s">
        <v>16</v>
      </c>
      <c r="K69" s="138">
        <v>1.0</v>
      </c>
      <c r="L69" s="47" t="s">
        <v>16</v>
      </c>
      <c r="M69" s="138">
        <v>2.0</v>
      </c>
    </row>
    <row r="70">
      <c r="A70" s="130"/>
      <c r="B70" s="59" t="s">
        <v>11</v>
      </c>
      <c r="C70" s="142">
        <v>0.333333333333333</v>
      </c>
      <c r="D70" s="60" t="s">
        <v>11</v>
      </c>
      <c r="E70" s="147"/>
      <c r="F70" s="59" t="s">
        <v>11</v>
      </c>
      <c r="G70" s="142"/>
      <c r="H70" s="60" t="s">
        <v>11</v>
      </c>
      <c r="I70" s="141">
        <v>3.0</v>
      </c>
      <c r="J70" s="59" t="s">
        <v>11</v>
      </c>
      <c r="K70" s="138">
        <v>0.333333333333333</v>
      </c>
      <c r="L70" s="60" t="s">
        <v>11</v>
      </c>
      <c r="M70" s="142">
        <v>0.666666666666667</v>
      </c>
    </row>
  </sheetData>
  <conditionalFormatting sqref="A1 A3:D3 N3:P3 A11:B11 C11:D12 N11:P12 M12 A21 A23:M23 P23:T23 A47:M47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4" t="s">
        <v>75</v>
      </c>
    </row>
    <row r="2">
      <c r="A2" s="2" t="s">
        <v>76</v>
      </c>
    </row>
    <row r="3">
      <c r="A3" s="100" t="s">
        <v>65</v>
      </c>
      <c r="B3" s="101" t="s">
        <v>31</v>
      </c>
      <c r="C3" s="102"/>
      <c r="D3" s="102"/>
      <c r="E3" s="103"/>
      <c r="F3" s="14" t="s">
        <v>32</v>
      </c>
      <c r="G3" s="14"/>
      <c r="H3" s="14"/>
      <c r="I3" s="13"/>
      <c r="J3" s="104" t="s">
        <v>33</v>
      </c>
      <c r="K3" s="14"/>
      <c r="L3" s="14"/>
      <c r="M3" s="103"/>
      <c r="N3" s="102" t="s">
        <v>34</v>
      </c>
      <c r="O3" s="102"/>
      <c r="P3" s="102"/>
      <c r="Q3" s="13"/>
      <c r="R3" s="104" t="s">
        <v>35</v>
      </c>
      <c r="S3" s="14"/>
      <c r="T3" s="14"/>
      <c r="U3" s="103"/>
      <c r="V3" s="14" t="s">
        <v>36</v>
      </c>
      <c r="W3" s="14"/>
      <c r="X3" s="14"/>
      <c r="Y3" s="103"/>
    </row>
    <row r="4">
      <c r="A4" s="105" t="s">
        <v>77</v>
      </c>
      <c r="B4" s="20">
        <v>1.0</v>
      </c>
      <c r="C4" s="21">
        <v>2.0</v>
      </c>
      <c r="D4" s="21">
        <v>3.0</v>
      </c>
      <c r="E4" s="22" t="s">
        <v>78</v>
      </c>
      <c r="F4" s="21">
        <v>1.0</v>
      </c>
      <c r="G4" s="21">
        <v>2.0</v>
      </c>
      <c r="H4" s="21">
        <v>3.0</v>
      </c>
      <c r="I4" s="22" t="s">
        <v>78</v>
      </c>
      <c r="J4" s="20">
        <v>1.0</v>
      </c>
      <c r="K4" s="21">
        <v>2.0</v>
      </c>
      <c r="L4" s="21">
        <v>3.0</v>
      </c>
      <c r="M4" s="22" t="s">
        <v>78</v>
      </c>
      <c r="N4" s="21">
        <v>1.0</v>
      </c>
      <c r="O4" s="21">
        <v>2.0</v>
      </c>
      <c r="P4" s="21">
        <v>3.0</v>
      </c>
      <c r="Q4" s="22" t="s">
        <v>78</v>
      </c>
      <c r="R4" s="20">
        <v>1.0</v>
      </c>
      <c r="S4" s="21">
        <v>2.0</v>
      </c>
      <c r="T4" s="21">
        <v>3.0</v>
      </c>
      <c r="U4" s="22" t="s">
        <v>78</v>
      </c>
      <c r="V4" s="21">
        <v>1.0</v>
      </c>
      <c r="W4" s="21">
        <v>2.0</v>
      </c>
      <c r="X4" s="21">
        <v>3.0</v>
      </c>
      <c r="Y4" s="22" t="s">
        <v>78</v>
      </c>
    </row>
    <row r="5">
      <c r="A5" s="106" t="s">
        <v>69</v>
      </c>
      <c r="B5" s="148">
        <v>6.0</v>
      </c>
      <c r="C5" s="148">
        <v>6.0</v>
      </c>
      <c r="D5" s="148">
        <v>12.0</v>
      </c>
      <c r="E5" s="109">
        <f>AVERAGE(B5:D5)</f>
        <v>8</v>
      </c>
      <c r="F5" s="2">
        <v>7.0</v>
      </c>
      <c r="G5" s="2">
        <v>7.0</v>
      </c>
      <c r="H5" s="2">
        <v>3.0</v>
      </c>
      <c r="I5" s="110">
        <f t="shared" ref="I5:I8" si="1">AVERAGE(F5:H5)</f>
        <v>5.666666667</v>
      </c>
      <c r="J5" s="149">
        <v>5.0</v>
      </c>
      <c r="K5" s="149">
        <v>5.0</v>
      </c>
      <c r="L5" s="149">
        <v>5.0</v>
      </c>
      <c r="M5" s="112">
        <f t="shared" ref="M5:M8" si="2">AVERAGE(J5:L5)</f>
        <v>5</v>
      </c>
      <c r="N5" s="2">
        <v>70.0</v>
      </c>
      <c r="O5" s="2">
        <v>68.0</v>
      </c>
      <c r="P5" s="2">
        <v>62.0</v>
      </c>
      <c r="Q5" s="112">
        <f t="shared" ref="Q5:Q8" si="3">AVERAGE(N5:P5)</f>
        <v>66.66666667</v>
      </c>
      <c r="R5" s="2">
        <v>1.0</v>
      </c>
      <c r="S5" s="2">
        <v>3.0</v>
      </c>
      <c r="T5" s="2">
        <v>2.0</v>
      </c>
      <c r="U5" s="112">
        <f t="shared" ref="U5:U6" si="4">AVERAGE(R5:T5)</f>
        <v>2</v>
      </c>
      <c r="V5" s="2">
        <v>42.0</v>
      </c>
      <c r="W5" s="2">
        <v>38.0</v>
      </c>
      <c r="X5" s="2">
        <v>37.0</v>
      </c>
      <c r="Y5" s="112">
        <f t="shared" ref="Y5:Y8" si="5">AVERAGE(V5:X5)</f>
        <v>39</v>
      </c>
    </row>
    <row r="6">
      <c r="A6" s="106" t="s">
        <v>31</v>
      </c>
      <c r="B6" s="113"/>
      <c r="C6" s="114"/>
      <c r="D6" s="114"/>
      <c r="E6" s="115"/>
      <c r="F6" s="2">
        <v>39.0</v>
      </c>
      <c r="G6" s="2">
        <v>36.0</v>
      </c>
      <c r="H6" s="2">
        <v>40.0</v>
      </c>
      <c r="I6" s="110">
        <f t="shared" si="1"/>
        <v>38.33333333</v>
      </c>
      <c r="J6" s="149">
        <v>30.0</v>
      </c>
      <c r="K6" s="149">
        <v>32.0</v>
      </c>
      <c r="L6" s="149">
        <v>41.0</v>
      </c>
      <c r="M6" s="112">
        <f t="shared" si="2"/>
        <v>34.33333333</v>
      </c>
      <c r="N6" s="2">
        <v>94.0</v>
      </c>
      <c r="O6" s="2">
        <v>95.0</v>
      </c>
      <c r="P6" s="2">
        <v>102.0</v>
      </c>
      <c r="Q6" s="112">
        <f t="shared" si="3"/>
        <v>97</v>
      </c>
      <c r="R6" s="2">
        <v>34.0</v>
      </c>
      <c r="S6" s="2">
        <v>27.0</v>
      </c>
      <c r="T6" s="2">
        <v>26.0</v>
      </c>
      <c r="U6" s="112">
        <f t="shared" si="4"/>
        <v>29</v>
      </c>
      <c r="V6" s="2">
        <v>70.0</v>
      </c>
      <c r="W6" s="2">
        <v>61.0</v>
      </c>
      <c r="X6" s="2">
        <v>67.0</v>
      </c>
      <c r="Y6" s="112">
        <f t="shared" si="5"/>
        <v>66</v>
      </c>
    </row>
    <row r="7">
      <c r="A7" s="106" t="s">
        <v>79</v>
      </c>
      <c r="B7" s="113">
        <v>7.0</v>
      </c>
      <c r="C7" s="114">
        <v>9.0</v>
      </c>
      <c r="D7" s="114">
        <v>6.0</v>
      </c>
      <c r="E7" s="115">
        <f t="shared" ref="E7:E9" si="6">AVERAGE(B7:D7)</f>
        <v>7.333333333</v>
      </c>
      <c r="F7" s="2">
        <v>4.0</v>
      </c>
      <c r="G7" s="2">
        <v>3.0</v>
      </c>
      <c r="H7" s="2">
        <v>2.0</v>
      </c>
      <c r="I7" s="110">
        <f t="shared" si="1"/>
        <v>3</v>
      </c>
      <c r="J7" s="149">
        <v>0.0</v>
      </c>
      <c r="K7" s="149">
        <v>0.0</v>
      </c>
      <c r="L7" s="149">
        <v>1.0</v>
      </c>
      <c r="M7" s="112">
        <f t="shared" si="2"/>
        <v>0.3333333333</v>
      </c>
      <c r="N7" s="2">
        <v>9.0</v>
      </c>
      <c r="O7" s="2">
        <v>11.0</v>
      </c>
      <c r="P7" s="2">
        <v>11.0</v>
      </c>
      <c r="Q7" s="110">
        <f t="shared" si="3"/>
        <v>10.33333333</v>
      </c>
      <c r="R7" s="111"/>
      <c r="U7" s="112"/>
      <c r="V7" s="2">
        <v>3.0</v>
      </c>
      <c r="W7" s="2">
        <v>4.0</v>
      </c>
      <c r="X7" s="2">
        <v>4.0</v>
      </c>
      <c r="Y7" s="112">
        <f t="shared" si="5"/>
        <v>3.666666667</v>
      </c>
    </row>
    <row r="8">
      <c r="A8" s="106" t="s">
        <v>34</v>
      </c>
      <c r="B8" s="113">
        <v>73.0</v>
      </c>
      <c r="C8" s="114">
        <v>73.0</v>
      </c>
      <c r="D8" s="114">
        <v>69.0</v>
      </c>
      <c r="E8" s="115">
        <f t="shared" si="6"/>
        <v>71.66666667</v>
      </c>
      <c r="F8" s="2">
        <v>10.0</v>
      </c>
      <c r="G8" s="2">
        <v>5.0</v>
      </c>
      <c r="H8" s="2">
        <v>3.0</v>
      </c>
      <c r="I8" s="110">
        <f t="shared" si="1"/>
        <v>6</v>
      </c>
      <c r="J8" s="149">
        <v>14.0</v>
      </c>
      <c r="K8" s="149">
        <v>14.0</v>
      </c>
      <c r="L8" s="149">
        <v>8.0</v>
      </c>
      <c r="M8" s="112">
        <f t="shared" si="2"/>
        <v>12</v>
      </c>
      <c r="N8" s="2">
        <v>0.0</v>
      </c>
      <c r="O8" s="2">
        <v>2.0</v>
      </c>
      <c r="P8" s="2">
        <v>1.0</v>
      </c>
      <c r="Q8" s="110">
        <f t="shared" si="3"/>
        <v>1</v>
      </c>
      <c r="R8" s="116"/>
      <c r="U8" s="117"/>
      <c r="V8" s="2">
        <v>9.0</v>
      </c>
      <c r="W8" s="2">
        <v>4.0</v>
      </c>
      <c r="X8" s="2">
        <v>8.0</v>
      </c>
      <c r="Y8" s="112">
        <f t="shared" si="5"/>
        <v>7</v>
      </c>
    </row>
    <row r="9">
      <c r="A9" s="118" t="s">
        <v>80</v>
      </c>
      <c r="B9" s="119">
        <v>3.0</v>
      </c>
      <c r="C9" s="120">
        <v>0.0</v>
      </c>
      <c r="D9" s="120">
        <v>3.0</v>
      </c>
      <c r="E9" s="121">
        <f t="shared" si="6"/>
        <v>2</v>
      </c>
      <c r="F9" s="122"/>
      <c r="G9" s="122"/>
      <c r="H9" s="122"/>
      <c r="I9" s="123"/>
      <c r="J9" s="124"/>
      <c r="K9" s="125"/>
      <c r="L9" s="125"/>
      <c r="M9" s="126"/>
      <c r="N9" s="125"/>
      <c r="O9" s="125"/>
      <c r="P9" s="122"/>
      <c r="Q9" s="125"/>
      <c r="R9" s="124"/>
      <c r="S9" s="125"/>
      <c r="T9" s="125"/>
      <c r="U9" s="126"/>
      <c r="V9" s="122"/>
      <c r="W9" s="122"/>
      <c r="X9" s="122"/>
      <c r="Y9" s="127"/>
    </row>
    <row r="11">
      <c r="A11" s="100" t="s">
        <v>68</v>
      </c>
      <c r="B11" s="101" t="s">
        <v>31</v>
      </c>
      <c r="C11" s="102"/>
      <c r="D11" s="102"/>
      <c r="E11" s="103"/>
      <c r="F11" s="14" t="s">
        <v>32</v>
      </c>
      <c r="G11" s="14"/>
      <c r="H11" s="14"/>
      <c r="I11" s="13"/>
      <c r="J11" s="104" t="s">
        <v>33</v>
      </c>
      <c r="K11" s="14"/>
      <c r="L11" s="14"/>
      <c r="M11" s="103"/>
      <c r="N11" s="102" t="s">
        <v>34</v>
      </c>
      <c r="O11" s="102"/>
      <c r="P11" s="102"/>
      <c r="Q11" s="13"/>
      <c r="R11" s="104" t="s">
        <v>35</v>
      </c>
      <c r="S11" s="14"/>
      <c r="T11" s="14"/>
      <c r="U11" s="103"/>
      <c r="V11" s="14" t="s">
        <v>36</v>
      </c>
      <c r="W11" s="14"/>
      <c r="X11" s="14"/>
      <c r="Y11" s="103"/>
    </row>
    <row r="12">
      <c r="A12" s="105" t="s">
        <v>77</v>
      </c>
      <c r="B12" s="20">
        <v>1.0</v>
      </c>
      <c r="C12" s="21">
        <v>2.0</v>
      </c>
      <c r="D12" s="21">
        <v>3.0</v>
      </c>
      <c r="E12" s="22" t="s">
        <v>78</v>
      </c>
      <c r="F12" s="21">
        <v>1.0</v>
      </c>
      <c r="G12" s="21">
        <v>2.0</v>
      </c>
      <c r="H12" s="21">
        <v>3.0</v>
      </c>
      <c r="I12" s="22" t="s">
        <v>78</v>
      </c>
      <c r="J12" s="20">
        <v>1.0</v>
      </c>
      <c r="K12" s="21">
        <v>2.0</v>
      </c>
      <c r="L12" s="21">
        <v>3.0</v>
      </c>
      <c r="M12" s="22" t="s">
        <v>78</v>
      </c>
      <c r="N12" s="21">
        <v>1.0</v>
      </c>
      <c r="O12" s="21">
        <v>2.0</v>
      </c>
      <c r="P12" s="21">
        <v>3.0</v>
      </c>
      <c r="Q12" s="22" t="s">
        <v>78</v>
      </c>
      <c r="R12" s="20">
        <v>1.0</v>
      </c>
      <c r="S12" s="21">
        <v>2.0</v>
      </c>
      <c r="T12" s="21">
        <v>3.0</v>
      </c>
      <c r="U12" s="22" t="s">
        <v>78</v>
      </c>
      <c r="V12" s="21">
        <v>1.0</v>
      </c>
      <c r="W12" s="21">
        <v>2.0</v>
      </c>
      <c r="X12" s="21">
        <v>3.0</v>
      </c>
      <c r="Y12" s="22" t="s">
        <v>78</v>
      </c>
    </row>
    <row r="13">
      <c r="A13" s="106" t="s">
        <v>69</v>
      </c>
      <c r="B13" s="114">
        <v>5.0</v>
      </c>
      <c r="C13" s="114">
        <v>4.0</v>
      </c>
      <c r="D13" s="114">
        <v>2.0</v>
      </c>
      <c r="E13" s="112">
        <f t="shared" ref="E13:E14" si="7">AVERAGE(B13:D13)</f>
        <v>3.666666667</v>
      </c>
      <c r="F13" s="114">
        <v>3.0</v>
      </c>
      <c r="G13" s="114">
        <v>4.0</v>
      </c>
      <c r="H13" s="114">
        <v>2.0</v>
      </c>
      <c r="I13" s="110">
        <f>AVERAGE(F13:H13)</f>
        <v>3</v>
      </c>
      <c r="J13" s="111">
        <v>5.0</v>
      </c>
      <c r="K13" s="2">
        <v>6.0</v>
      </c>
      <c r="L13" s="2">
        <v>7.0</v>
      </c>
      <c r="M13" s="112">
        <f t="shared" ref="M13:M18" si="8">AVERAGE(J13:L13)</f>
        <v>6</v>
      </c>
      <c r="N13" s="114">
        <v>30.0</v>
      </c>
      <c r="O13" s="114">
        <v>28.0</v>
      </c>
      <c r="P13" s="114">
        <v>30.0</v>
      </c>
      <c r="Q13" s="110">
        <f>AVERAGE(N13:P13)</f>
        <v>29.33333333</v>
      </c>
      <c r="R13" s="111">
        <v>8.0</v>
      </c>
      <c r="S13" s="2">
        <v>12.0</v>
      </c>
      <c r="T13" s="2">
        <v>7.0</v>
      </c>
      <c r="U13" s="112">
        <f t="shared" ref="U13:U15" si="9">AVERAGE(R13:T13)</f>
        <v>9</v>
      </c>
      <c r="V13" s="114">
        <v>24.0</v>
      </c>
      <c r="W13" s="114">
        <v>21.0</v>
      </c>
      <c r="X13" s="114">
        <v>17.0</v>
      </c>
      <c r="Y13" s="112">
        <f>AVERAGE(V13:X13)</f>
        <v>20.66666667</v>
      </c>
    </row>
    <row r="14">
      <c r="A14" s="106" t="s">
        <v>89</v>
      </c>
      <c r="B14" s="114">
        <v>0.0</v>
      </c>
      <c r="C14" s="114">
        <v>0.0</v>
      </c>
      <c r="D14" s="114">
        <v>1.0</v>
      </c>
      <c r="E14" s="112">
        <f t="shared" si="7"/>
        <v>0.3333333333</v>
      </c>
      <c r="I14" s="110"/>
      <c r="J14" s="111">
        <v>0.0</v>
      </c>
      <c r="K14" s="2">
        <v>0.0</v>
      </c>
      <c r="L14" s="2">
        <v>1.0</v>
      </c>
      <c r="M14" s="112">
        <f t="shared" si="8"/>
        <v>0.3333333333</v>
      </c>
      <c r="Q14" s="110"/>
      <c r="R14" s="111">
        <v>5.0</v>
      </c>
      <c r="S14" s="2">
        <v>10.0</v>
      </c>
      <c r="T14" s="2">
        <v>10.0</v>
      </c>
      <c r="U14" s="112">
        <f t="shared" si="9"/>
        <v>8.333333333</v>
      </c>
      <c r="Y14" s="112"/>
    </row>
    <row r="15">
      <c r="A15" s="106" t="s">
        <v>31</v>
      </c>
      <c r="B15" s="111"/>
      <c r="E15" s="112"/>
      <c r="F15" s="114">
        <v>7.0</v>
      </c>
      <c r="G15" s="114">
        <v>2.0</v>
      </c>
      <c r="H15" s="114">
        <v>2.0</v>
      </c>
      <c r="I15" s="110">
        <f>AVERAGE(F15:H15)</f>
        <v>3.666666667</v>
      </c>
      <c r="J15" s="111">
        <v>8.0</v>
      </c>
      <c r="K15" s="2">
        <v>6.0</v>
      </c>
      <c r="L15" s="2">
        <v>6.0</v>
      </c>
      <c r="M15" s="112">
        <f t="shared" si="8"/>
        <v>6.666666667</v>
      </c>
      <c r="N15" s="114">
        <v>29.0</v>
      </c>
      <c r="O15" s="114">
        <v>27.0</v>
      </c>
      <c r="P15" s="114">
        <v>28.0</v>
      </c>
      <c r="Q15" s="110">
        <f t="shared" ref="Q15:Q17" si="10">AVERAGE(N15:P15)</f>
        <v>28</v>
      </c>
      <c r="R15" s="111">
        <v>0.0</v>
      </c>
      <c r="S15" s="2">
        <v>0.0</v>
      </c>
      <c r="T15" s="2">
        <v>2.0</v>
      </c>
      <c r="U15" s="112">
        <f t="shared" si="9"/>
        <v>0.6666666667</v>
      </c>
      <c r="V15" s="114">
        <v>16.0</v>
      </c>
      <c r="W15" s="114">
        <v>14.0</v>
      </c>
      <c r="X15" s="114">
        <v>10.0</v>
      </c>
      <c r="Y15" s="112">
        <f>AVERAGE(V15:X15)</f>
        <v>13.33333333</v>
      </c>
    </row>
    <row r="16">
      <c r="A16" s="106" t="s">
        <v>73</v>
      </c>
      <c r="B16" s="111"/>
      <c r="E16" s="112"/>
      <c r="I16" s="110"/>
      <c r="J16" s="111">
        <v>0.0</v>
      </c>
      <c r="K16" s="2">
        <v>0.0</v>
      </c>
      <c r="L16" s="2">
        <v>2.0</v>
      </c>
      <c r="M16" s="112">
        <f t="shared" si="8"/>
        <v>0.6666666667</v>
      </c>
      <c r="N16" s="114">
        <v>0.0</v>
      </c>
      <c r="O16" s="114">
        <v>0.0</v>
      </c>
      <c r="P16" s="114">
        <v>1.0</v>
      </c>
      <c r="Q16" s="110">
        <f t="shared" si="10"/>
        <v>0.3333333333</v>
      </c>
      <c r="R16" s="111"/>
      <c r="U16" s="112"/>
      <c r="Y16" s="112"/>
    </row>
    <row r="17">
      <c r="A17" s="106" t="s">
        <v>79</v>
      </c>
      <c r="B17" s="114">
        <v>1.0</v>
      </c>
      <c r="C17" s="114">
        <v>1.0</v>
      </c>
      <c r="D17" s="114">
        <v>2.0</v>
      </c>
      <c r="E17" s="112">
        <f t="shared" ref="E17:E19" si="11">AVERAGE(B17:D17)</f>
        <v>1.333333333</v>
      </c>
      <c r="I17" s="110"/>
      <c r="J17" s="111">
        <v>0.0</v>
      </c>
      <c r="K17" s="2">
        <v>0.0</v>
      </c>
      <c r="L17" s="2">
        <v>2.0</v>
      </c>
      <c r="M17" s="112">
        <f t="shared" si="8"/>
        <v>0.6666666667</v>
      </c>
      <c r="N17" s="114">
        <v>3.0</v>
      </c>
      <c r="O17" s="114">
        <v>1.0</v>
      </c>
      <c r="P17" s="114">
        <v>1.0</v>
      </c>
      <c r="Q17" s="110">
        <f t="shared" si="10"/>
        <v>1.666666667</v>
      </c>
      <c r="R17" s="111"/>
      <c r="U17" s="112"/>
      <c r="V17" s="114">
        <v>1.0</v>
      </c>
      <c r="W17" s="114">
        <v>1.0</v>
      </c>
      <c r="X17" s="114">
        <v>0.0</v>
      </c>
      <c r="Y17" s="112">
        <f t="shared" ref="Y17:Y18" si="12">AVERAGE(V17:X17)</f>
        <v>0.6666666667</v>
      </c>
    </row>
    <row r="18">
      <c r="A18" s="106" t="s">
        <v>34</v>
      </c>
      <c r="B18" s="114">
        <v>18.0</v>
      </c>
      <c r="C18" s="114">
        <v>14.0</v>
      </c>
      <c r="D18" s="114">
        <v>8.0</v>
      </c>
      <c r="E18" s="112">
        <f t="shared" si="11"/>
        <v>13.33333333</v>
      </c>
      <c r="F18" s="114">
        <v>2.0</v>
      </c>
      <c r="G18" s="114">
        <v>2.0</v>
      </c>
      <c r="H18" s="114">
        <v>1.0</v>
      </c>
      <c r="I18" s="110">
        <f>AVERAGE(F18:H18)</f>
        <v>1.666666667</v>
      </c>
      <c r="J18" s="111">
        <v>10.0</v>
      </c>
      <c r="K18" s="2">
        <v>6.0</v>
      </c>
      <c r="L18" s="2">
        <v>8.0</v>
      </c>
      <c r="M18" s="112">
        <f t="shared" si="8"/>
        <v>8</v>
      </c>
      <c r="Q18" s="110"/>
      <c r="R18" s="116"/>
      <c r="U18" s="117"/>
      <c r="V18" s="114">
        <v>1.0</v>
      </c>
      <c r="W18" s="114">
        <v>2.0</v>
      </c>
      <c r="X18" s="114">
        <v>1.0</v>
      </c>
      <c r="Y18" s="112">
        <f t="shared" si="12"/>
        <v>1.333333333</v>
      </c>
    </row>
    <row r="19">
      <c r="A19" s="118" t="s">
        <v>80</v>
      </c>
      <c r="B19" s="114">
        <v>1.0</v>
      </c>
      <c r="C19" s="114">
        <v>0.0</v>
      </c>
      <c r="D19" s="114">
        <v>1.0</v>
      </c>
      <c r="E19" s="127">
        <f t="shared" si="11"/>
        <v>0.6666666667</v>
      </c>
      <c r="F19" s="122"/>
      <c r="G19" s="122"/>
      <c r="H19" s="122"/>
      <c r="I19" s="123"/>
      <c r="J19" s="124"/>
      <c r="K19" s="125"/>
      <c r="L19" s="125"/>
      <c r="M19" s="126"/>
      <c r="N19" s="125"/>
      <c r="O19" s="125"/>
      <c r="P19" s="125"/>
      <c r="Q19" s="125"/>
      <c r="R19" s="124"/>
      <c r="S19" s="125"/>
      <c r="T19" s="125"/>
      <c r="U19" s="126"/>
      <c r="V19" s="122"/>
      <c r="W19" s="122"/>
      <c r="X19" s="122"/>
      <c r="Y19" s="127"/>
    </row>
    <row r="23">
      <c r="A23" s="4" t="s">
        <v>81</v>
      </c>
    </row>
    <row r="24">
      <c r="A24" s="2" t="s">
        <v>76</v>
      </c>
    </row>
    <row r="25">
      <c r="A25" s="150" t="s">
        <v>65</v>
      </c>
      <c r="B25" s="101" t="s">
        <v>31</v>
      </c>
      <c r="C25" s="101" t="s">
        <v>32</v>
      </c>
      <c r="D25" s="101" t="s">
        <v>33</v>
      </c>
      <c r="E25" s="101" t="s">
        <v>34</v>
      </c>
      <c r="F25" s="101" t="s">
        <v>35</v>
      </c>
      <c r="G25" s="151" t="s">
        <v>36</v>
      </c>
      <c r="I25" s="18"/>
      <c r="K25" s="152" t="s">
        <v>90</v>
      </c>
      <c r="L25" s="102"/>
      <c r="M25" s="102"/>
      <c r="N25" s="102"/>
      <c r="O25" s="102"/>
    </row>
    <row r="26">
      <c r="A26" s="153" t="s">
        <v>40</v>
      </c>
      <c r="B26" s="154" t="s">
        <v>78</v>
      </c>
      <c r="C26" s="154" t="s">
        <v>78</v>
      </c>
      <c r="D26" s="154" t="s">
        <v>78</v>
      </c>
      <c r="E26" s="154" t="s">
        <v>78</v>
      </c>
      <c r="F26" s="154" t="s">
        <v>78</v>
      </c>
      <c r="G26" s="154" t="s">
        <v>78</v>
      </c>
      <c r="I26" s="50"/>
      <c r="J26" s="1" t="s">
        <v>83</v>
      </c>
      <c r="K26" s="20" t="s">
        <v>40</v>
      </c>
      <c r="L26" s="21" t="s">
        <v>84</v>
      </c>
      <c r="M26" s="21" t="s">
        <v>85</v>
      </c>
      <c r="N26" s="21" t="s">
        <v>86</v>
      </c>
      <c r="O26" s="22" t="s">
        <v>87</v>
      </c>
    </row>
    <row r="27">
      <c r="A27" s="155" t="s">
        <v>3</v>
      </c>
      <c r="B27" s="132">
        <v>6.0</v>
      </c>
      <c r="C27" s="132">
        <v>1.0</v>
      </c>
      <c r="D27" s="132">
        <v>1.0</v>
      </c>
      <c r="E27" s="132">
        <v>9.0</v>
      </c>
      <c r="F27" s="132">
        <v>0.333333333333333</v>
      </c>
      <c r="G27" s="132">
        <v>6.66666666666667</v>
      </c>
      <c r="I27" s="141"/>
      <c r="J27" s="2">
        <v>18.0</v>
      </c>
      <c r="K27" s="24" t="s">
        <v>3</v>
      </c>
      <c r="L27" s="156">
        <f t="shared" ref="L27:L48" si="13">SUM(B27,C27,D27,E27,F27,G27)/6</f>
        <v>4</v>
      </c>
      <c r="M27" s="157">
        <f t="shared" ref="M27:M49" si="14">L27/J27</f>
        <v>0.2222222222</v>
      </c>
      <c r="N27" s="158">
        <f t="shared" ref="N27:N48" si="15">SUM(B51,C51,D51,E51,F51,G51,)/6</f>
        <v>1.888888889</v>
      </c>
      <c r="O27" s="159">
        <f t="shared" ref="O27:O48" si="16">N27/J27</f>
        <v>0.1049382716</v>
      </c>
    </row>
    <row r="28">
      <c r="A28" s="160" t="s">
        <v>10</v>
      </c>
      <c r="B28" s="138">
        <v>2.66666666666667</v>
      </c>
      <c r="C28" s="138">
        <v>7.33333333333333</v>
      </c>
      <c r="D28" s="138">
        <v>1.33333333333333</v>
      </c>
      <c r="E28" s="138">
        <v>18.6666666666667</v>
      </c>
      <c r="F28" s="138">
        <v>2.0</v>
      </c>
      <c r="G28" s="138">
        <v>12.0</v>
      </c>
      <c r="I28" s="141"/>
      <c r="J28" s="2">
        <v>13.0</v>
      </c>
      <c r="K28" s="24" t="s">
        <v>10</v>
      </c>
      <c r="L28" s="156">
        <f t="shared" si="13"/>
        <v>7.333333333</v>
      </c>
      <c r="M28" s="157">
        <f t="shared" si="14"/>
        <v>0.5641025641</v>
      </c>
      <c r="N28" s="158">
        <f t="shared" si="15"/>
        <v>2</v>
      </c>
      <c r="O28" s="159">
        <f t="shared" si="16"/>
        <v>0.1538461538</v>
      </c>
    </row>
    <row r="29">
      <c r="A29" s="160" t="s">
        <v>17</v>
      </c>
      <c r="B29" s="138">
        <v>4.33333333333333</v>
      </c>
      <c r="C29" s="138">
        <v>1.33333333333333</v>
      </c>
      <c r="D29" s="138">
        <v>0.333333333333333</v>
      </c>
      <c r="E29" s="138">
        <v>3.0</v>
      </c>
      <c r="F29" s="138">
        <v>1.0</v>
      </c>
      <c r="G29" s="138">
        <v>3.33333333333333</v>
      </c>
      <c r="I29" s="141"/>
      <c r="J29" s="2">
        <v>7.0</v>
      </c>
      <c r="K29" s="24" t="s">
        <v>17</v>
      </c>
      <c r="L29" s="156">
        <f t="shared" si="13"/>
        <v>2.222222222</v>
      </c>
      <c r="M29" s="157">
        <f t="shared" si="14"/>
        <v>0.3174603175</v>
      </c>
      <c r="N29" s="158">
        <f t="shared" si="15"/>
        <v>0.5555555556</v>
      </c>
      <c r="O29" s="159">
        <f t="shared" si="16"/>
        <v>0.07936507937</v>
      </c>
    </row>
    <row r="30">
      <c r="A30" s="160" t="s">
        <v>12</v>
      </c>
      <c r="B30" s="138">
        <v>6.0</v>
      </c>
      <c r="C30" s="138">
        <v>1.66666666666667</v>
      </c>
      <c r="D30" s="138">
        <v>2.66666666666667</v>
      </c>
      <c r="E30" s="138">
        <v>3.0</v>
      </c>
      <c r="F30" s="138">
        <v>0.333333333333333</v>
      </c>
      <c r="G30" s="138">
        <v>4.66666666666667</v>
      </c>
      <c r="I30" s="141"/>
      <c r="J30" s="2">
        <v>11.0</v>
      </c>
      <c r="K30" s="24" t="s">
        <v>12</v>
      </c>
      <c r="L30" s="156">
        <f t="shared" si="13"/>
        <v>3.055555556</v>
      </c>
      <c r="M30" s="157">
        <f t="shared" si="14"/>
        <v>0.2777777778</v>
      </c>
      <c r="N30" s="158">
        <f t="shared" si="15"/>
        <v>0.7777777778</v>
      </c>
      <c r="O30" s="159">
        <f t="shared" si="16"/>
        <v>0.07070707071</v>
      </c>
    </row>
    <row r="31">
      <c r="A31" s="160" t="s">
        <v>21</v>
      </c>
      <c r="B31" s="138">
        <v>1.0</v>
      </c>
      <c r="C31" s="138"/>
      <c r="D31" s="138"/>
      <c r="E31" s="138"/>
      <c r="F31" s="138"/>
      <c r="G31" s="138"/>
      <c r="I31" s="141"/>
      <c r="J31" s="2">
        <v>1.0</v>
      </c>
      <c r="K31" s="24" t="s">
        <v>21</v>
      </c>
      <c r="L31" s="156">
        <f t="shared" si="13"/>
        <v>0.1666666667</v>
      </c>
      <c r="M31" s="157">
        <f t="shared" si="14"/>
        <v>0.1666666667</v>
      </c>
      <c r="N31" s="158">
        <f t="shared" si="15"/>
        <v>0.2222222222</v>
      </c>
      <c r="O31" s="159">
        <f t="shared" si="16"/>
        <v>0.2222222222</v>
      </c>
    </row>
    <row r="32">
      <c r="A32" s="161" t="s">
        <v>22</v>
      </c>
      <c r="B32" s="138"/>
      <c r="C32" s="138"/>
      <c r="D32" s="138"/>
      <c r="E32" s="138">
        <v>0.666666666666667</v>
      </c>
      <c r="F32" s="138"/>
      <c r="G32" s="138">
        <v>0.666666666666667</v>
      </c>
      <c r="I32" s="141"/>
      <c r="J32" s="2">
        <v>1.0</v>
      </c>
      <c r="K32" s="24" t="s">
        <v>22</v>
      </c>
      <c r="L32" s="156">
        <f t="shared" si="13"/>
        <v>0.2222222222</v>
      </c>
      <c r="M32" s="157">
        <f t="shared" si="14"/>
        <v>0.2222222222</v>
      </c>
      <c r="N32" s="158">
        <f t="shared" si="15"/>
        <v>0.2222222222</v>
      </c>
      <c r="O32" s="159">
        <f t="shared" si="16"/>
        <v>0.2222222222</v>
      </c>
    </row>
    <row r="33">
      <c r="A33" s="160" t="s">
        <v>15</v>
      </c>
      <c r="B33" s="138">
        <v>6.66666666666667</v>
      </c>
      <c r="C33" s="138">
        <v>7.33333333333333</v>
      </c>
      <c r="D33" s="138">
        <v>1.33333333333333</v>
      </c>
      <c r="E33" s="138">
        <v>13.3333333333333</v>
      </c>
      <c r="F33" s="138">
        <v>3.0</v>
      </c>
      <c r="G33" s="138">
        <v>12.0</v>
      </c>
      <c r="I33" s="141"/>
      <c r="J33" s="2">
        <v>8.0</v>
      </c>
      <c r="K33" s="24" t="s">
        <v>15</v>
      </c>
      <c r="L33" s="156">
        <f t="shared" si="13"/>
        <v>7.277777778</v>
      </c>
      <c r="M33" s="157">
        <f t="shared" si="14"/>
        <v>0.9097222222</v>
      </c>
      <c r="N33" s="158">
        <f t="shared" si="15"/>
        <v>0.6666666667</v>
      </c>
      <c r="O33" s="159">
        <f t="shared" si="16"/>
        <v>0.08333333333</v>
      </c>
    </row>
    <row r="34">
      <c r="A34" s="160" t="s">
        <v>4</v>
      </c>
      <c r="B34" s="138">
        <v>14.0</v>
      </c>
      <c r="C34" s="138">
        <v>3.0</v>
      </c>
      <c r="D34" s="138">
        <v>3.33333333333333</v>
      </c>
      <c r="E34" s="138">
        <v>10.6666666666667</v>
      </c>
      <c r="F34" s="138">
        <v>0.666666666666667</v>
      </c>
      <c r="G34" s="138">
        <v>4.33333333333333</v>
      </c>
      <c r="I34" s="141"/>
      <c r="J34" s="2">
        <v>17.0</v>
      </c>
      <c r="K34" s="24" t="s">
        <v>4</v>
      </c>
      <c r="L34" s="156">
        <f t="shared" si="13"/>
        <v>6</v>
      </c>
      <c r="M34" s="157">
        <f t="shared" si="14"/>
        <v>0.3529411765</v>
      </c>
      <c r="N34" s="158">
        <f t="shared" si="15"/>
        <v>0.9444444444</v>
      </c>
      <c r="O34" s="159">
        <f t="shared" si="16"/>
        <v>0.05555555556</v>
      </c>
    </row>
    <row r="35">
      <c r="A35" s="160" t="s">
        <v>13</v>
      </c>
      <c r="B35" s="138">
        <v>3.0</v>
      </c>
      <c r="C35" s="138">
        <v>0.666666666666667</v>
      </c>
      <c r="D35" s="138"/>
      <c r="E35" s="138">
        <v>3.0</v>
      </c>
      <c r="F35" s="138">
        <v>0.333333333333333</v>
      </c>
      <c r="G35" s="138">
        <v>3.33333333333333</v>
      </c>
      <c r="I35" s="141"/>
      <c r="J35" s="2">
        <v>10.0</v>
      </c>
      <c r="K35" s="24" t="s">
        <v>13</v>
      </c>
      <c r="L35" s="156">
        <f t="shared" si="13"/>
        <v>1.722222222</v>
      </c>
      <c r="M35" s="157">
        <f t="shared" si="14"/>
        <v>0.1722222222</v>
      </c>
      <c r="N35" s="158">
        <f t="shared" si="15"/>
        <v>0.6666666667</v>
      </c>
      <c r="O35" s="159">
        <f t="shared" si="16"/>
        <v>0.06666666667</v>
      </c>
    </row>
    <row r="36">
      <c r="A36" s="160" t="s">
        <v>23</v>
      </c>
      <c r="B36" s="138">
        <v>0.666666666666667</v>
      </c>
      <c r="C36" s="138"/>
      <c r="D36" s="138">
        <v>0.333333333333333</v>
      </c>
      <c r="E36" s="138">
        <v>1.66666666666667</v>
      </c>
      <c r="F36" s="138"/>
      <c r="G36" s="138">
        <v>1.33333333333333</v>
      </c>
      <c r="I36" s="141"/>
      <c r="J36" s="2">
        <v>1.0</v>
      </c>
      <c r="K36" s="24" t="s">
        <v>23</v>
      </c>
      <c r="L36" s="156">
        <f t="shared" si="13"/>
        <v>0.6666666667</v>
      </c>
      <c r="M36" s="157">
        <f t="shared" si="14"/>
        <v>0.6666666667</v>
      </c>
      <c r="N36" s="158">
        <f t="shared" si="15"/>
        <v>0.5</v>
      </c>
      <c r="O36" s="159">
        <f t="shared" si="16"/>
        <v>0.5</v>
      </c>
    </row>
    <row r="37">
      <c r="A37" s="161" t="s">
        <v>88</v>
      </c>
      <c r="B37" s="138">
        <v>1.0</v>
      </c>
      <c r="C37" s="138"/>
      <c r="D37" s="138"/>
      <c r="E37" s="138"/>
      <c r="F37" s="138"/>
      <c r="G37" s="138"/>
      <c r="I37" s="141"/>
      <c r="J37" s="2">
        <v>1.0</v>
      </c>
      <c r="K37" s="24" t="s">
        <v>24</v>
      </c>
      <c r="L37" s="156">
        <f t="shared" si="13"/>
        <v>0.1666666667</v>
      </c>
      <c r="M37" s="157">
        <f t="shared" si="14"/>
        <v>0.1666666667</v>
      </c>
      <c r="N37" s="158">
        <f t="shared" si="15"/>
        <v>0.6666666667</v>
      </c>
      <c r="O37" s="159">
        <f t="shared" si="16"/>
        <v>0.6666666667</v>
      </c>
    </row>
    <row r="38">
      <c r="A38" s="160" t="s">
        <v>14</v>
      </c>
      <c r="B38" s="138">
        <v>1.33333333333333</v>
      </c>
      <c r="C38" s="138">
        <v>0.333333333333333</v>
      </c>
      <c r="D38" s="138"/>
      <c r="E38" s="138">
        <v>7.33333333333333</v>
      </c>
      <c r="F38" s="138">
        <v>0.333333333333333</v>
      </c>
      <c r="G38" s="138">
        <v>3.66666666666667</v>
      </c>
      <c r="I38" s="141"/>
      <c r="J38" s="2">
        <v>9.0</v>
      </c>
      <c r="K38" s="24" t="s">
        <v>14</v>
      </c>
      <c r="L38" s="156">
        <f t="shared" si="13"/>
        <v>2.166666667</v>
      </c>
      <c r="M38" s="157">
        <f t="shared" si="14"/>
        <v>0.2407407407</v>
      </c>
      <c r="N38" s="158">
        <f t="shared" si="15"/>
        <v>1.555555556</v>
      </c>
      <c r="O38" s="159">
        <f t="shared" si="16"/>
        <v>0.1728395062</v>
      </c>
    </row>
    <row r="39">
      <c r="A39" s="160" t="s">
        <v>2</v>
      </c>
      <c r="B39" s="138">
        <v>3.33333333333333</v>
      </c>
      <c r="C39" s="138">
        <v>3.0</v>
      </c>
      <c r="D39" s="138">
        <v>2.66666666666667</v>
      </c>
      <c r="E39" s="138">
        <v>8.0</v>
      </c>
      <c r="F39" s="138">
        <v>0.666666666666667</v>
      </c>
      <c r="G39" s="138">
        <v>7.33333333333333</v>
      </c>
      <c r="I39" s="141"/>
      <c r="J39" s="2">
        <v>20.0</v>
      </c>
      <c r="K39" s="24" t="s">
        <v>2</v>
      </c>
      <c r="L39" s="156">
        <f t="shared" si="13"/>
        <v>4.166666667</v>
      </c>
      <c r="M39" s="157">
        <f t="shared" si="14"/>
        <v>0.2083333333</v>
      </c>
      <c r="N39" s="158">
        <f t="shared" si="15"/>
        <v>1.388888889</v>
      </c>
      <c r="O39" s="159">
        <f t="shared" si="16"/>
        <v>0.06944444444</v>
      </c>
    </row>
    <row r="40">
      <c r="A40" s="160" t="s">
        <v>7</v>
      </c>
      <c r="B40" s="138">
        <v>7.66666666666667</v>
      </c>
      <c r="C40" s="138">
        <v>12.0</v>
      </c>
      <c r="D40" s="138">
        <v>13.6666666666667</v>
      </c>
      <c r="E40" s="138">
        <v>29.3333333333333</v>
      </c>
      <c r="F40" s="138">
        <v>11.6666666666667</v>
      </c>
      <c r="G40" s="138">
        <v>18.0</v>
      </c>
      <c r="I40" s="141"/>
      <c r="J40" s="2">
        <v>15.0</v>
      </c>
      <c r="K40" s="24" t="s">
        <v>7</v>
      </c>
      <c r="L40" s="156">
        <f t="shared" si="13"/>
        <v>15.38888889</v>
      </c>
      <c r="M40" s="157">
        <f t="shared" si="14"/>
        <v>1.025925926</v>
      </c>
      <c r="N40" s="158">
        <f t="shared" si="15"/>
        <v>1.388888889</v>
      </c>
      <c r="O40" s="159">
        <f t="shared" si="16"/>
        <v>0.09259259259</v>
      </c>
    </row>
    <row r="41">
      <c r="A41" s="160" t="s">
        <v>18</v>
      </c>
      <c r="B41" s="138">
        <v>1.66666666666667</v>
      </c>
      <c r="C41" s="138">
        <v>0.666666666666667</v>
      </c>
      <c r="D41" s="138"/>
      <c r="E41" s="138">
        <v>1.66666666666667</v>
      </c>
      <c r="F41" s="138"/>
      <c r="G41" s="138">
        <v>0.666666666666667</v>
      </c>
      <c r="I41" s="141"/>
      <c r="J41" s="2">
        <v>5.0</v>
      </c>
      <c r="K41" s="24" t="s">
        <v>18</v>
      </c>
      <c r="L41" s="156">
        <f t="shared" si="13"/>
        <v>0.7777777778</v>
      </c>
      <c r="M41" s="157">
        <f t="shared" si="14"/>
        <v>0.1555555556</v>
      </c>
      <c r="N41" s="158">
        <f t="shared" si="15"/>
        <v>0.5</v>
      </c>
      <c r="O41" s="159">
        <f t="shared" si="16"/>
        <v>0.1</v>
      </c>
    </row>
    <row r="42">
      <c r="A42" s="160" t="s">
        <v>5</v>
      </c>
      <c r="B42" s="138">
        <v>5.66666666666667</v>
      </c>
      <c r="C42" s="138">
        <v>2.33333333333333</v>
      </c>
      <c r="D42" s="138">
        <v>4.0</v>
      </c>
      <c r="E42" s="138">
        <v>17.0</v>
      </c>
      <c r="F42" s="138">
        <v>3.0</v>
      </c>
      <c r="G42" s="138">
        <v>7.33333333333333</v>
      </c>
      <c r="I42" s="141"/>
      <c r="J42" s="2">
        <v>16.0</v>
      </c>
      <c r="K42" s="24" t="s">
        <v>5</v>
      </c>
      <c r="L42" s="156">
        <f t="shared" si="13"/>
        <v>6.555555556</v>
      </c>
      <c r="M42" s="157">
        <f t="shared" si="14"/>
        <v>0.4097222222</v>
      </c>
      <c r="N42" s="158">
        <f t="shared" si="15"/>
        <v>3.444444444</v>
      </c>
      <c r="O42" s="159">
        <f t="shared" si="16"/>
        <v>0.2152777778</v>
      </c>
    </row>
    <row r="43">
      <c r="A43" s="160" t="s">
        <v>8</v>
      </c>
      <c r="B43" s="138">
        <v>2.0</v>
      </c>
      <c r="C43" s="138">
        <v>0.666666666666667</v>
      </c>
      <c r="D43" s="138">
        <v>0.333333333333333</v>
      </c>
      <c r="E43" s="138">
        <v>12.0</v>
      </c>
      <c r="F43" s="138"/>
      <c r="G43" s="138">
        <v>6.33333333333333</v>
      </c>
      <c r="I43" s="141"/>
      <c r="J43" s="2">
        <v>15.0</v>
      </c>
      <c r="K43" s="24" t="s">
        <v>8</v>
      </c>
      <c r="L43" s="156">
        <f t="shared" si="13"/>
        <v>3.555555556</v>
      </c>
      <c r="M43" s="157">
        <f t="shared" si="14"/>
        <v>0.237037037</v>
      </c>
      <c r="N43" s="158">
        <f t="shared" si="15"/>
        <v>1</v>
      </c>
      <c r="O43" s="159">
        <f t="shared" si="16"/>
        <v>0.06666666667</v>
      </c>
    </row>
    <row r="44">
      <c r="A44" s="160" t="s">
        <v>9</v>
      </c>
      <c r="B44" s="138">
        <v>4.33333333333333</v>
      </c>
      <c r="C44" s="138">
        <v>3.0</v>
      </c>
      <c r="D44" s="138">
        <v>4.33333333333333</v>
      </c>
      <c r="E44" s="138">
        <v>9.33333333333333</v>
      </c>
      <c r="F44" s="138">
        <v>1.33333333333333</v>
      </c>
      <c r="G44" s="138">
        <v>1.33333333333333</v>
      </c>
      <c r="I44" s="141"/>
      <c r="J44" s="2">
        <v>15.0</v>
      </c>
      <c r="K44" s="24" t="s">
        <v>9</v>
      </c>
      <c r="L44" s="156">
        <f t="shared" si="13"/>
        <v>3.944444444</v>
      </c>
      <c r="M44" s="157">
        <f t="shared" si="14"/>
        <v>0.262962963</v>
      </c>
      <c r="N44" s="158">
        <f t="shared" si="15"/>
        <v>1.166666667</v>
      </c>
      <c r="O44" s="159">
        <f t="shared" si="16"/>
        <v>0.07777777778</v>
      </c>
    </row>
    <row r="45">
      <c r="A45" s="160" t="s">
        <v>6</v>
      </c>
      <c r="B45" s="138">
        <v>10.3333333333333</v>
      </c>
      <c r="C45" s="138">
        <v>3.66666666666667</v>
      </c>
      <c r="D45" s="138">
        <v>6.33333333333333</v>
      </c>
      <c r="E45" s="138">
        <v>12.3333333333333</v>
      </c>
      <c r="F45" s="138">
        <v>1.66666666666667</v>
      </c>
      <c r="G45" s="138">
        <v>12.6666666666667</v>
      </c>
      <c r="I45" s="141"/>
      <c r="J45" s="2">
        <v>16.0</v>
      </c>
      <c r="K45" s="24" t="s">
        <v>6</v>
      </c>
      <c r="L45" s="156">
        <f t="shared" si="13"/>
        <v>7.833333333</v>
      </c>
      <c r="M45" s="157">
        <f t="shared" si="14"/>
        <v>0.4895833333</v>
      </c>
      <c r="N45" s="158">
        <f t="shared" si="15"/>
        <v>2.388888889</v>
      </c>
      <c r="O45" s="159">
        <f t="shared" si="16"/>
        <v>0.1493055556</v>
      </c>
    </row>
    <row r="46">
      <c r="A46" s="160" t="s">
        <v>20</v>
      </c>
      <c r="B46" s="138">
        <v>1.33333333333333</v>
      </c>
      <c r="C46" s="138">
        <v>0.666666666666667</v>
      </c>
      <c r="D46" s="138"/>
      <c r="E46" s="138">
        <v>0.666666666666667</v>
      </c>
      <c r="F46" s="48"/>
      <c r="G46" s="138">
        <v>1.33333333333333</v>
      </c>
      <c r="I46" s="141"/>
      <c r="J46" s="2">
        <v>3.0</v>
      </c>
      <c r="K46" s="24" t="s">
        <v>20</v>
      </c>
      <c r="L46" s="156">
        <f t="shared" si="13"/>
        <v>0.6666666667</v>
      </c>
      <c r="M46" s="157">
        <f t="shared" si="14"/>
        <v>0.2222222222</v>
      </c>
      <c r="N46" s="158">
        <f t="shared" si="15"/>
        <v>0.3888888889</v>
      </c>
      <c r="O46" s="159">
        <f t="shared" si="16"/>
        <v>0.1296296296</v>
      </c>
    </row>
    <row r="47">
      <c r="A47" s="160" t="s">
        <v>16</v>
      </c>
      <c r="B47" s="138">
        <v>1.66666666666667</v>
      </c>
      <c r="C47" s="138">
        <v>2.33333333333333</v>
      </c>
      <c r="D47" s="138">
        <v>9.0</v>
      </c>
      <c r="E47" s="138">
        <v>4.66666666666667</v>
      </c>
      <c r="F47" s="138">
        <v>3.33333333333333</v>
      </c>
      <c r="G47" s="138">
        <v>3.33333333333333</v>
      </c>
      <c r="I47" s="141"/>
      <c r="J47" s="2">
        <v>8.0</v>
      </c>
      <c r="K47" s="24" t="s">
        <v>16</v>
      </c>
      <c r="L47" s="156">
        <f t="shared" si="13"/>
        <v>4.055555556</v>
      </c>
      <c r="M47" s="157">
        <f t="shared" si="14"/>
        <v>0.5069444444</v>
      </c>
      <c r="N47" s="158">
        <f t="shared" si="15"/>
        <v>1.944444444</v>
      </c>
      <c r="O47" s="159">
        <f t="shared" si="16"/>
        <v>0.2430555556</v>
      </c>
    </row>
    <row r="48">
      <c r="A48" s="160" t="s">
        <v>11</v>
      </c>
      <c r="B48" s="138">
        <v>3.0</v>
      </c>
      <c r="C48" s="138"/>
      <c r="D48" s="138">
        <v>0.666666666666667</v>
      </c>
      <c r="E48" s="138">
        <v>7.0</v>
      </c>
      <c r="F48" s="138"/>
      <c r="G48" s="138">
        <v>3.0</v>
      </c>
      <c r="I48" s="141"/>
      <c r="J48" s="2">
        <v>13.0</v>
      </c>
      <c r="K48" s="24" t="s">
        <v>11</v>
      </c>
      <c r="L48" s="156">
        <f t="shared" si="13"/>
        <v>2.277777778</v>
      </c>
      <c r="M48" s="157">
        <f t="shared" si="14"/>
        <v>0.1752136752</v>
      </c>
      <c r="N48" s="158">
        <f t="shared" si="15"/>
        <v>1.722222222</v>
      </c>
      <c r="O48" s="159">
        <f t="shared" si="16"/>
        <v>0.1324786325</v>
      </c>
    </row>
    <row r="49">
      <c r="A49" s="150" t="s">
        <v>68</v>
      </c>
      <c r="B49" s="101" t="s">
        <v>31</v>
      </c>
      <c r="C49" s="101" t="s">
        <v>32</v>
      </c>
      <c r="D49" s="101" t="s">
        <v>33</v>
      </c>
      <c r="E49" s="101" t="s">
        <v>34</v>
      </c>
      <c r="F49" s="101" t="s">
        <v>35</v>
      </c>
      <c r="G49" s="151" t="s">
        <v>36</v>
      </c>
      <c r="H49" s="18"/>
      <c r="I49" s="18"/>
      <c r="J49" s="2">
        <v>1.0</v>
      </c>
      <c r="K49" s="2" t="s">
        <v>26</v>
      </c>
      <c r="L49" s="44">
        <v>0.0</v>
      </c>
      <c r="M49" s="157">
        <f t="shared" si="14"/>
        <v>0</v>
      </c>
      <c r="N49" s="162">
        <v>0.0</v>
      </c>
      <c r="O49" s="159">
        <f>N49/J48</f>
        <v>0</v>
      </c>
    </row>
    <row r="50">
      <c r="A50" s="153" t="s">
        <v>40</v>
      </c>
      <c r="B50" s="154" t="s">
        <v>78</v>
      </c>
      <c r="C50" s="154" t="s">
        <v>78</v>
      </c>
      <c r="D50" s="154" t="s">
        <v>78</v>
      </c>
      <c r="E50" s="154" t="s">
        <v>78</v>
      </c>
      <c r="F50" s="154" t="s">
        <v>78</v>
      </c>
      <c r="G50" s="154" t="s">
        <v>78</v>
      </c>
      <c r="H50" s="50"/>
      <c r="I50" s="50"/>
      <c r="J50" s="50"/>
      <c r="K50" s="50"/>
      <c r="L50" s="50"/>
      <c r="M50" s="50"/>
    </row>
    <row r="51">
      <c r="A51" s="155" t="s">
        <v>3</v>
      </c>
      <c r="B51" s="163">
        <v>1.33333333333333</v>
      </c>
      <c r="C51" s="132"/>
      <c r="D51" s="163">
        <v>0.666666666666667</v>
      </c>
      <c r="E51" s="132">
        <v>5.66666666666667</v>
      </c>
      <c r="F51" s="132">
        <v>0.333333333333333</v>
      </c>
      <c r="G51" s="163">
        <v>3.33333333333333</v>
      </c>
      <c r="H51" s="164"/>
      <c r="I51" s="141"/>
      <c r="J51" s="164"/>
      <c r="K51" s="141"/>
      <c r="L51" s="141"/>
      <c r="M51" s="141"/>
    </row>
    <row r="52">
      <c r="A52" s="160" t="s">
        <v>10</v>
      </c>
      <c r="B52" s="161">
        <v>0.666666666666667</v>
      </c>
      <c r="C52" s="138"/>
      <c r="D52" s="161">
        <v>1.66666666666667</v>
      </c>
      <c r="E52" s="138">
        <v>4.0</v>
      </c>
      <c r="F52" s="138">
        <v>1.0</v>
      </c>
      <c r="G52" s="161">
        <v>4.66666666666667</v>
      </c>
      <c r="H52" s="164"/>
      <c r="I52" s="141"/>
      <c r="J52" s="164"/>
      <c r="K52" s="141"/>
      <c r="L52" s="141"/>
      <c r="M52" s="141"/>
    </row>
    <row r="53">
      <c r="A53" s="160" t="s">
        <v>17</v>
      </c>
      <c r="B53" s="161">
        <v>0.666666666666667</v>
      </c>
      <c r="C53" s="138">
        <v>0.666666666666667</v>
      </c>
      <c r="D53" s="161">
        <v>1.0</v>
      </c>
      <c r="E53" s="138">
        <v>0.666666666666667</v>
      </c>
      <c r="F53" s="138">
        <v>0.333333333333333</v>
      </c>
      <c r="G53" s="165"/>
      <c r="H53" s="164"/>
      <c r="I53" s="141"/>
      <c r="J53" s="164"/>
      <c r="K53" s="141"/>
      <c r="L53" s="141"/>
      <c r="M53" s="141"/>
    </row>
    <row r="54">
      <c r="A54" s="160" t="s">
        <v>12</v>
      </c>
      <c r="B54" s="161">
        <v>2.0</v>
      </c>
      <c r="C54" s="138"/>
      <c r="D54" s="161">
        <v>1.0</v>
      </c>
      <c r="E54" s="138">
        <v>1.0</v>
      </c>
      <c r="F54" s="138">
        <v>0.333333333333333</v>
      </c>
      <c r="G54" s="161">
        <v>0.333333333333333</v>
      </c>
      <c r="H54" s="164"/>
      <c r="I54" s="141"/>
      <c r="J54" s="164"/>
      <c r="K54" s="141"/>
      <c r="L54" s="141"/>
      <c r="M54" s="141"/>
    </row>
    <row r="55">
      <c r="A55" s="160" t="s">
        <v>21</v>
      </c>
      <c r="B55" s="161">
        <v>0.666666666666667</v>
      </c>
      <c r="C55" s="138"/>
      <c r="D55" s="165"/>
      <c r="E55" s="138">
        <v>0.333333333333333</v>
      </c>
      <c r="G55" s="161">
        <v>0.333333333333333</v>
      </c>
      <c r="H55" s="164"/>
      <c r="I55" s="141"/>
      <c r="J55" s="164"/>
      <c r="K55" s="141"/>
      <c r="L55" s="141"/>
      <c r="M55" s="141"/>
    </row>
    <row r="56">
      <c r="A56" s="161" t="s">
        <v>22</v>
      </c>
      <c r="B56" s="165"/>
      <c r="C56" s="138"/>
      <c r="D56" s="165"/>
      <c r="E56" s="138">
        <v>1.33333333333333</v>
      </c>
      <c r="G56" s="165"/>
      <c r="H56" s="141"/>
      <c r="I56" s="141"/>
      <c r="J56" s="141"/>
      <c r="K56" s="141"/>
      <c r="L56" s="141"/>
      <c r="M56" s="141"/>
    </row>
    <row r="57">
      <c r="A57" s="160" t="s">
        <v>15</v>
      </c>
      <c r="B57" s="165"/>
      <c r="C57" s="138">
        <v>0.333333333333333</v>
      </c>
      <c r="D57" s="165"/>
      <c r="E57" s="138">
        <v>1.33333333333333</v>
      </c>
      <c r="F57" s="138">
        <v>0.333333333333333</v>
      </c>
      <c r="G57" s="161">
        <v>2.0</v>
      </c>
      <c r="H57" s="164"/>
      <c r="I57" s="141"/>
      <c r="J57" s="164"/>
      <c r="K57" s="141"/>
      <c r="L57" s="141"/>
      <c r="M57" s="141"/>
    </row>
    <row r="58">
      <c r="A58" s="160" t="s">
        <v>4</v>
      </c>
      <c r="B58" s="161">
        <v>1.0</v>
      </c>
      <c r="C58" s="138">
        <v>1.0</v>
      </c>
      <c r="D58" s="161">
        <v>0.666666666666667</v>
      </c>
      <c r="E58" s="138">
        <v>1.33333333333333</v>
      </c>
      <c r="F58" s="138">
        <v>0.333333333333333</v>
      </c>
      <c r="G58" s="161">
        <v>1.33333333333333</v>
      </c>
      <c r="H58" s="164"/>
      <c r="I58" s="141"/>
      <c r="J58" s="164"/>
      <c r="K58" s="141"/>
      <c r="L58" s="141"/>
      <c r="M58" s="141"/>
    </row>
    <row r="59">
      <c r="A59" s="160" t="s">
        <v>13</v>
      </c>
      <c r="B59" s="161">
        <v>0.333333333333333</v>
      </c>
      <c r="C59" s="138"/>
      <c r="D59" s="161">
        <v>2.33333333333333</v>
      </c>
      <c r="E59" s="138">
        <v>0.666666666666667</v>
      </c>
      <c r="G59" s="161">
        <v>0.666666666666667</v>
      </c>
      <c r="H59" s="164"/>
      <c r="I59" s="141"/>
      <c r="J59" s="164"/>
      <c r="K59" s="141"/>
      <c r="L59" s="141"/>
      <c r="M59" s="141"/>
    </row>
    <row r="60">
      <c r="A60" s="160" t="s">
        <v>23</v>
      </c>
      <c r="B60" s="161">
        <v>0.666666666666667</v>
      </c>
      <c r="C60" s="138"/>
      <c r="D60" s="161">
        <v>0.333333333333333</v>
      </c>
      <c r="E60" s="138">
        <v>0.0</v>
      </c>
      <c r="F60" s="138">
        <v>1.0</v>
      </c>
      <c r="G60" s="161">
        <v>1.0</v>
      </c>
      <c r="H60" s="164"/>
      <c r="I60" s="141"/>
      <c r="J60" s="164"/>
      <c r="K60" s="141"/>
      <c r="L60" s="141"/>
      <c r="M60" s="141"/>
    </row>
    <row r="61">
      <c r="A61" s="161" t="s">
        <v>88</v>
      </c>
      <c r="B61" s="161">
        <v>0.0</v>
      </c>
      <c r="C61" s="138">
        <v>0.0</v>
      </c>
      <c r="D61" s="161">
        <v>0.666666666666667</v>
      </c>
      <c r="E61" s="138">
        <v>3.33333333333333</v>
      </c>
      <c r="F61" s="138">
        <v>0.0</v>
      </c>
      <c r="G61" s="161">
        <v>0.0</v>
      </c>
      <c r="H61" s="141"/>
      <c r="I61" s="141"/>
      <c r="J61" s="141"/>
      <c r="K61" s="141"/>
      <c r="L61" s="141"/>
      <c r="M61" s="141"/>
    </row>
    <row r="62">
      <c r="A62" s="160" t="s">
        <v>14</v>
      </c>
      <c r="B62" s="161">
        <v>1.0</v>
      </c>
      <c r="C62" s="138">
        <v>0.333333333333333</v>
      </c>
      <c r="D62" s="161">
        <v>1.66666666666667</v>
      </c>
      <c r="E62" s="138">
        <v>4.33333333333333</v>
      </c>
      <c r="G62" s="161">
        <v>2.0</v>
      </c>
      <c r="H62" s="164"/>
      <c r="I62" s="141"/>
      <c r="J62" s="164"/>
      <c r="K62" s="141"/>
      <c r="L62" s="141"/>
      <c r="M62" s="141"/>
    </row>
    <row r="63">
      <c r="A63" s="160" t="s">
        <v>2</v>
      </c>
      <c r="B63" s="161">
        <v>0.666666666666667</v>
      </c>
      <c r="C63" s="138"/>
      <c r="D63" s="161">
        <v>1.66666666666667</v>
      </c>
      <c r="E63" s="138">
        <v>5.0</v>
      </c>
      <c r="F63" s="138">
        <v>0.333333333333333</v>
      </c>
      <c r="G63" s="161">
        <v>0.666666666666667</v>
      </c>
      <c r="H63" s="164"/>
      <c r="I63" s="141"/>
      <c r="J63" s="164"/>
      <c r="K63" s="141"/>
      <c r="L63" s="141"/>
      <c r="M63" s="141"/>
    </row>
    <row r="64">
      <c r="A64" s="160" t="s">
        <v>7</v>
      </c>
      <c r="B64" s="161">
        <v>1.66666666666667</v>
      </c>
      <c r="C64" s="138">
        <v>2.0</v>
      </c>
      <c r="D64" s="161">
        <v>0.666666666666667</v>
      </c>
      <c r="E64" s="138">
        <v>1.0</v>
      </c>
      <c r="F64" s="138">
        <v>1.0</v>
      </c>
      <c r="G64" s="161">
        <v>2.0</v>
      </c>
      <c r="H64" s="164"/>
      <c r="I64" s="141"/>
      <c r="J64" s="164"/>
      <c r="K64" s="141"/>
      <c r="L64" s="141"/>
      <c r="M64" s="141"/>
    </row>
    <row r="65">
      <c r="A65" s="160" t="s">
        <v>18</v>
      </c>
      <c r="B65" s="161">
        <v>0.666666666666667</v>
      </c>
      <c r="C65" s="138"/>
      <c r="D65" s="161">
        <v>0.666666666666667</v>
      </c>
      <c r="E65" s="138">
        <v>0.333333333333333</v>
      </c>
      <c r="F65" s="138">
        <v>0.666666666666667</v>
      </c>
      <c r="G65" s="161">
        <v>0.666666666666667</v>
      </c>
      <c r="H65" s="164"/>
      <c r="I65" s="141"/>
      <c r="J65" s="164"/>
      <c r="K65" s="141"/>
      <c r="L65" s="141"/>
      <c r="M65" s="141"/>
    </row>
    <row r="66">
      <c r="A66" s="160" t="s">
        <v>5</v>
      </c>
      <c r="B66" s="161">
        <v>1.66666666666667</v>
      </c>
      <c r="C66" s="138">
        <v>1.66666666666667</v>
      </c>
      <c r="D66" s="161">
        <v>1.66666666666667</v>
      </c>
      <c r="E66" s="138">
        <v>5.33333333333333</v>
      </c>
      <c r="F66" s="138">
        <v>4.66666666666667</v>
      </c>
      <c r="G66" s="161">
        <v>5.66666666666667</v>
      </c>
      <c r="H66" s="164"/>
      <c r="I66" s="141"/>
      <c r="J66" s="164"/>
      <c r="K66" s="141"/>
      <c r="L66" s="141"/>
      <c r="M66" s="141"/>
    </row>
    <row r="67">
      <c r="A67" s="160" t="s">
        <v>8</v>
      </c>
      <c r="B67" s="161">
        <v>0.333333333333333</v>
      </c>
      <c r="C67" s="138"/>
      <c r="D67" s="161">
        <v>1.0</v>
      </c>
      <c r="E67" s="138">
        <v>3.33333333333333</v>
      </c>
      <c r="F67" s="138">
        <v>0.333333333333333</v>
      </c>
      <c r="G67" s="161">
        <v>1.0</v>
      </c>
      <c r="H67" s="164"/>
      <c r="I67" s="141"/>
      <c r="J67" s="164"/>
      <c r="K67" s="141"/>
      <c r="L67" s="141"/>
      <c r="M67" s="141"/>
    </row>
    <row r="68">
      <c r="A68" s="160" t="s">
        <v>9</v>
      </c>
      <c r="B68" s="161">
        <v>1.66666666666667</v>
      </c>
      <c r="C68" s="138">
        <v>0.333333333333333</v>
      </c>
      <c r="D68" s="161">
        <v>0.666666666666667</v>
      </c>
      <c r="E68" s="138">
        <v>3.66666666666667</v>
      </c>
      <c r="F68" s="138">
        <v>0.666666666666667</v>
      </c>
      <c r="G68" s="165"/>
      <c r="H68" s="164"/>
      <c r="I68" s="141"/>
      <c r="J68" s="164"/>
      <c r="K68" s="141"/>
      <c r="L68" s="141"/>
      <c r="M68" s="141"/>
    </row>
    <row r="69">
      <c r="A69" s="160" t="s">
        <v>6</v>
      </c>
      <c r="B69" s="161">
        <v>2.33333333333333</v>
      </c>
      <c r="C69" s="138">
        <v>0.333333333333333</v>
      </c>
      <c r="D69" s="161">
        <v>1.66666666666667</v>
      </c>
      <c r="E69" s="138">
        <v>7.33333333333333</v>
      </c>
      <c r="F69" s="138">
        <v>0.666666666666667</v>
      </c>
      <c r="G69" s="161">
        <v>2.0</v>
      </c>
      <c r="H69" s="164"/>
      <c r="I69" s="141"/>
      <c r="J69" s="164"/>
      <c r="K69" s="141"/>
      <c r="L69" s="141"/>
      <c r="M69" s="141"/>
    </row>
    <row r="70">
      <c r="A70" s="160" t="s">
        <v>20</v>
      </c>
      <c r="B70" s="165"/>
      <c r="D70" s="161">
        <v>0.333333333333333</v>
      </c>
      <c r="E70" s="138">
        <v>0.666666666666667</v>
      </c>
      <c r="F70" s="138">
        <v>1.0</v>
      </c>
      <c r="G70" s="161">
        <v>0.333333333333333</v>
      </c>
      <c r="H70" s="164"/>
      <c r="I70" s="141"/>
      <c r="J70" s="164"/>
      <c r="K70" s="141"/>
      <c r="L70" s="141"/>
      <c r="M70" s="141"/>
    </row>
    <row r="71">
      <c r="A71" s="160" t="s">
        <v>16</v>
      </c>
      <c r="B71" s="161">
        <v>0.666666666666667</v>
      </c>
      <c r="C71" s="138">
        <v>1.33333333333333</v>
      </c>
      <c r="D71" s="161">
        <v>2.33333333333333</v>
      </c>
      <c r="E71" s="138">
        <v>1.33333333333333</v>
      </c>
      <c r="F71" s="138">
        <v>3.66666666666667</v>
      </c>
      <c r="G71" s="161">
        <v>2.33333333333333</v>
      </c>
      <c r="H71" s="164"/>
      <c r="I71" s="141"/>
      <c r="J71" s="164"/>
      <c r="K71" s="141"/>
      <c r="L71" s="141"/>
      <c r="M71" s="141"/>
    </row>
    <row r="72">
      <c r="A72" s="166" t="s">
        <v>11</v>
      </c>
      <c r="B72" s="167">
        <v>0.333333333333333</v>
      </c>
      <c r="C72" s="142"/>
      <c r="D72" s="167">
        <v>0.333333333333333</v>
      </c>
      <c r="E72" s="142">
        <v>4.66666666666667</v>
      </c>
      <c r="F72" s="138">
        <v>0.333333333333333</v>
      </c>
      <c r="G72" s="167">
        <v>4.66666666666667</v>
      </c>
      <c r="H72" s="164"/>
      <c r="I72" s="141"/>
      <c r="J72" s="164"/>
      <c r="K72" s="141"/>
      <c r="L72" s="141"/>
      <c r="M72" s="141"/>
    </row>
  </sheetData>
  <conditionalFormatting sqref="A1 A3:D3 N3:P3 A11:B11 C11:D12 N11:P12 M12 A23 A25:T25 A49:M49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4" t="s">
        <v>75</v>
      </c>
    </row>
    <row r="2">
      <c r="A2" s="2" t="s">
        <v>76</v>
      </c>
    </row>
    <row r="3">
      <c r="A3" s="100" t="s">
        <v>65</v>
      </c>
      <c r="B3" s="101" t="s">
        <v>31</v>
      </c>
      <c r="C3" s="102"/>
      <c r="D3" s="102"/>
      <c r="E3" s="103"/>
      <c r="F3" s="14" t="s">
        <v>32</v>
      </c>
      <c r="G3" s="14"/>
      <c r="H3" s="14"/>
      <c r="I3" s="13"/>
      <c r="J3" s="104" t="s">
        <v>33</v>
      </c>
      <c r="K3" s="14"/>
      <c r="L3" s="14"/>
      <c r="M3" s="103"/>
      <c r="N3" s="102" t="s">
        <v>34</v>
      </c>
      <c r="O3" s="102"/>
      <c r="P3" s="102"/>
      <c r="Q3" s="13"/>
      <c r="R3" s="104" t="s">
        <v>35</v>
      </c>
      <c r="S3" s="14"/>
      <c r="T3" s="14"/>
      <c r="U3" s="103"/>
      <c r="V3" s="14" t="s">
        <v>36</v>
      </c>
      <c r="W3" s="14"/>
      <c r="X3" s="14"/>
      <c r="Y3" s="103"/>
    </row>
    <row r="4">
      <c r="A4" s="105" t="s">
        <v>77</v>
      </c>
      <c r="B4" s="20">
        <v>1.0</v>
      </c>
      <c r="C4" s="21">
        <v>2.0</v>
      </c>
      <c r="D4" s="21">
        <v>3.0</v>
      </c>
      <c r="E4" s="22" t="s">
        <v>78</v>
      </c>
      <c r="F4" s="21">
        <v>1.0</v>
      </c>
      <c r="G4" s="21">
        <v>2.0</v>
      </c>
      <c r="H4" s="21">
        <v>3.0</v>
      </c>
      <c r="I4" s="22" t="s">
        <v>78</v>
      </c>
      <c r="J4" s="20">
        <v>1.0</v>
      </c>
      <c r="K4" s="21">
        <v>2.0</v>
      </c>
      <c r="L4" s="21">
        <v>3.0</v>
      </c>
      <c r="M4" s="22" t="s">
        <v>78</v>
      </c>
      <c r="N4" s="21">
        <v>1.0</v>
      </c>
      <c r="O4" s="21">
        <v>2.0</v>
      </c>
      <c r="P4" s="21">
        <v>3.0</v>
      </c>
      <c r="Q4" s="22" t="s">
        <v>78</v>
      </c>
      <c r="R4" s="20">
        <v>1.0</v>
      </c>
      <c r="S4" s="21">
        <v>2.0</v>
      </c>
      <c r="T4" s="21">
        <v>3.0</v>
      </c>
      <c r="U4" s="22" t="s">
        <v>78</v>
      </c>
      <c r="V4" s="21">
        <v>1.0</v>
      </c>
      <c r="W4" s="21">
        <v>2.0</v>
      </c>
      <c r="X4" s="21">
        <v>3.0</v>
      </c>
      <c r="Y4" s="22" t="s">
        <v>78</v>
      </c>
    </row>
    <row r="5">
      <c r="A5" s="106" t="s">
        <v>69</v>
      </c>
      <c r="B5" s="148">
        <v>10.0</v>
      </c>
      <c r="C5" s="148">
        <v>7.0</v>
      </c>
      <c r="D5" s="148">
        <v>10.0</v>
      </c>
      <c r="E5" s="109">
        <f>AVERAGE(B5:D5)</f>
        <v>9</v>
      </c>
      <c r="F5" s="2">
        <v>11.0</v>
      </c>
      <c r="G5" s="2">
        <v>5.0</v>
      </c>
      <c r="H5" s="2">
        <v>7.0</v>
      </c>
      <c r="I5" s="110">
        <f t="shared" ref="I5:I8" si="1">AVERAGE(F5:H5)</f>
        <v>7.666666667</v>
      </c>
      <c r="J5" s="111">
        <v>5.0</v>
      </c>
      <c r="K5" s="2">
        <v>2.0</v>
      </c>
      <c r="L5" s="2">
        <v>3.0</v>
      </c>
      <c r="M5" s="112">
        <f t="shared" ref="M5:M6" si="2">AVERAGE(J5:L5)</f>
        <v>3.333333333</v>
      </c>
      <c r="N5" s="2">
        <v>81.0</v>
      </c>
      <c r="O5" s="2">
        <v>81.0</v>
      </c>
      <c r="P5" s="2">
        <v>71.0</v>
      </c>
      <c r="Q5" s="112">
        <f t="shared" ref="Q5:Q8" si="3">AVERAGE(N5:P5)</f>
        <v>77.66666667</v>
      </c>
      <c r="R5" s="2">
        <v>6.0</v>
      </c>
      <c r="S5" s="2">
        <v>5.0</v>
      </c>
      <c r="T5" s="2">
        <v>5.0</v>
      </c>
      <c r="U5" s="112">
        <f t="shared" ref="U5:U6" si="4">AVERAGE(R5:T5)</f>
        <v>5.333333333</v>
      </c>
      <c r="V5" s="2">
        <v>39.0</v>
      </c>
      <c r="W5" s="2">
        <v>44.0</v>
      </c>
      <c r="X5" s="2">
        <v>37.0</v>
      </c>
      <c r="Y5" s="112">
        <f t="shared" ref="Y5:Y8" si="5">AVERAGE(V5:X5)</f>
        <v>40</v>
      </c>
    </row>
    <row r="6">
      <c r="A6" s="106" t="s">
        <v>31</v>
      </c>
      <c r="B6" s="113"/>
      <c r="C6" s="114"/>
      <c r="D6" s="114"/>
      <c r="E6" s="115"/>
      <c r="F6" s="2">
        <v>55.0</v>
      </c>
      <c r="G6" s="2">
        <v>39.0</v>
      </c>
      <c r="H6" s="2">
        <v>40.0</v>
      </c>
      <c r="I6" s="110">
        <f t="shared" si="1"/>
        <v>44.66666667</v>
      </c>
      <c r="J6" s="111">
        <v>38.0</v>
      </c>
      <c r="K6" s="2">
        <v>32.0</v>
      </c>
      <c r="L6" s="2">
        <v>34.0</v>
      </c>
      <c r="M6" s="112">
        <f t="shared" si="2"/>
        <v>34.66666667</v>
      </c>
      <c r="N6" s="2">
        <v>93.0</v>
      </c>
      <c r="O6" s="2">
        <v>107.0</v>
      </c>
      <c r="P6" s="2">
        <v>104.0</v>
      </c>
      <c r="Q6" s="112">
        <f t="shared" si="3"/>
        <v>101.3333333</v>
      </c>
      <c r="R6" s="2">
        <v>36.0</v>
      </c>
      <c r="S6" s="2">
        <v>34.0</v>
      </c>
      <c r="T6" s="2">
        <v>33.0</v>
      </c>
      <c r="U6" s="112">
        <f t="shared" si="4"/>
        <v>34.33333333</v>
      </c>
      <c r="V6" s="2">
        <v>68.0</v>
      </c>
      <c r="W6" s="2">
        <v>69.0</v>
      </c>
      <c r="X6" s="2">
        <v>67.0</v>
      </c>
      <c r="Y6" s="112">
        <f t="shared" si="5"/>
        <v>68</v>
      </c>
    </row>
    <row r="7">
      <c r="A7" s="106" t="s">
        <v>79</v>
      </c>
      <c r="B7" s="113">
        <v>10.0</v>
      </c>
      <c r="C7" s="114">
        <v>13.0</v>
      </c>
      <c r="D7" s="114">
        <v>8.0</v>
      </c>
      <c r="E7" s="115">
        <f t="shared" ref="E7:E9" si="6">AVERAGE(B7:D7)</f>
        <v>10.33333333</v>
      </c>
      <c r="F7" s="2">
        <v>3.0</v>
      </c>
      <c r="G7" s="2">
        <v>4.0</v>
      </c>
      <c r="H7" s="2">
        <v>2.0</v>
      </c>
      <c r="I7" s="110">
        <f t="shared" si="1"/>
        <v>3</v>
      </c>
      <c r="J7" s="111"/>
      <c r="M7" s="112"/>
      <c r="N7" s="2">
        <v>4.0</v>
      </c>
      <c r="O7" s="2">
        <v>5.0</v>
      </c>
      <c r="P7" s="2">
        <v>6.0</v>
      </c>
      <c r="Q7" s="110">
        <f t="shared" si="3"/>
        <v>5</v>
      </c>
      <c r="R7" s="111"/>
      <c r="U7" s="112"/>
      <c r="V7" s="2">
        <v>3.0</v>
      </c>
      <c r="W7" s="2">
        <v>4.0</v>
      </c>
      <c r="X7" s="2">
        <v>6.0</v>
      </c>
      <c r="Y7" s="112">
        <f t="shared" si="5"/>
        <v>4.333333333</v>
      </c>
    </row>
    <row r="8">
      <c r="A8" s="106" t="s">
        <v>34</v>
      </c>
      <c r="B8" s="113">
        <v>72.0</v>
      </c>
      <c r="C8" s="114">
        <v>66.0</v>
      </c>
      <c r="D8" s="114">
        <v>67.0</v>
      </c>
      <c r="E8" s="115">
        <f t="shared" si="6"/>
        <v>68.33333333</v>
      </c>
      <c r="F8" s="2">
        <v>11.0</v>
      </c>
      <c r="G8" s="2">
        <v>7.0</v>
      </c>
      <c r="H8" s="2">
        <v>4.0</v>
      </c>
      <c r="I8" s="110">
        <f t="shared" si="1"/>
        <v>7.333333333</v>
      </c>
      <c r="J8" s="168">
        <v>12.0</v>
      </c>
      <c r="K8" s="169">
        <v>16.0</v>
      </c>
      <c r="L8" s="169">
        <v>14.0</v>
      </c>
      <c r="M8" s="112">
        <f>AVERAGE(J8:L8)</f>
        <v>14</v>
      </c>
      <c r="N8" s="2">
        <v>0.0</v>
      </c>
      <c r="O8" s="2">
        <v>1.0</v>
      </c>
      <c r="P8" s="2">
        <v>0.0</v>
      </c>
      <c r="Q8" s="110">
        <f t="shared" si="3"/>
        <v>0.3333333333</v>
      </c>
      <c r="R8" s="116"/>
      <c r="U8" s="117"/>
      <c r="V8" s="2">
        <v>1.0</v>
      </c>
      <c r="W8" s="2">
        <v>6.0</v>
      </c>
      <c r="X8" s="2">
        <v>4.0</v>
      </c>
      <c r="Y8" s="112">
        <f t="shared" si="5"/>
        <v>3.666666667</v>
      </c>
    </row>
    <row r="9">
      <c r="A9" s="118" t="s">
        <v>80</v>
      </c>
      <c r="B9" s="119">
        <v>0.0</v>
      </c>
      <c r="C9" s="120">
        <v>1.0</v>
      </c>
      <c r="D9" s="120">
        <v>2.0</v>
      </c>
      <c r="E9" s="121">
        <f t="shared" si="6"/>
        <v>1</v>
      </c>
      <c r="F9" s="122"/>
      <c r="G9" s="122"/>
      <c r="H9" s="122"/>
      <c r="I9" s="123"/>
      <c r="J9" s="124"/>
      <c r="K9" s="125"/>
      <c r="L9" s="125"/>
      <c r="M9" s="126"/>
      <c r="N9" s="125"/>
      <c r="O9" s="125"/>
      <c r="P9" s="122"/>
      <c r="Q9" s="125"/>
      <c r="R9" s="124"/>
      <c r="S9" s="125"/>
      <c r="T9" s="125"/>
      <c r="U9" s="126"/>
      <c r="V9" s="122"/>
      <c r="W9" s="122"/>
      <c r="X9" s="122"/>
      <c r="Y9" s="127"/>
    </row>
    <row r="11">
      <c r="A11" s="100" t="s">
        <v>68</v>
      </c>
      <c r="B11" s="101" t="s">
        <v>31</v>
      </c>
      <c r="C11" s="102"/>
      <c r="D11" s="102"/>
      <c r="E11" s="103"/>
      <c r="F11" s="14" t="s">
        <v>32</v>
      </c>
      <c r="G11" s="14"/>
      <c r="H11" s="14"/>
      <c r="I11" s="13"/>
      <c r="J11" s="104" t="s">
        <v>33</v>
      </c>
      <c r="K11" s="14"/>
      <c r="L11" s="14"/>
      <c r="M11" s="103"/>
      <c r="N11" s="102" t="s">
        <v>34</v>
      </c>
      <c r="O11" s="102"/>
      <c r="P11" s="102"/>
      <c r="Q11" s="13"/>
      <c r="R11" s="104" t="s">
        <v>35</v>
      </c>
      <c r="S11" s="14"/>
      <c r="T11" s="14"/>
      <c r="U11" s="103"/>
      <c r="V11" s="14" t="s">
        <v>36</v>
      </c>
      <c r="W11" s="14"/>
      <c r="X11" s="14"/>
      <c r="Y11" s="103"/>
    </row>
    <row r="12">
      <c r="A12" s="105" t="s">
        <v>77</v>
      </c>
      <c r="B12" s="20">
        <v>1.0</v>
      </c>
      <c r="C12" s="21">
        <v>2.0</v>
      </c>
      <c r="D12" s="21">
        <v>3.0</v>
      </c>
      <c r="E12" s="22" t="s">
        <v>78</v>
      </c>
      <c r="F12" s="21">
        <v>1.0</v>
      </c>
      <c r="G12" s="21">
        <v>2.0</v>
      </c>
      <c r="H12" s="21">
        <v>3.0</v>
      </c>
      <c r="I12" s="22" t="s">
        <v>78</v>
      </c>
      <c r="J12" s="20">
        <v>1.0</v>
      </c>
      <c r="K12" s="21">
        <v>2.0</v>
      </c>
      <c r="L12" s="21">
        <v>3.0</v>
      </c>
      <c r="M12" s="22" t="s">
        <v>78</v>
      </c>
      <c r="N12" s="21">
        <v>1.0</v>
      </c>
      <c r="O12" s="21">
        <v>2.0</v>
      </c>
      <c r="P12" s="21">
        <v>3.0</v>
      </c>
      <c r="Q12" s="22" t="s">
        <v>78</v>
      </c>
      <c r="R12" s="20">
        <v>1.0</v>
      </c>
      <c r="S12" s="21">
        <v>2.0</v>
      </c>
      <c r="T12" s="21">
        <v>3.0</v>
      </c>
      <c r="U12" s="22" t="s">
        <v>78</v>
      </c>
      <c r="V12" s="21">
        <v>1.0</v>
      </c>
      <c r="W12" s="21">
        <v>2.0</v>
      </c>
      <c r="X12" s="21">
        <v>3.0</v>
      </c>
      <c r="Y12" s="22" t="s">
        <v>78</v>
      </c>
    </row>
    <row r="13">
      <c r="A13" s="106" t="s">
        <v>69</v>
      </c>
      <c r="B13" s="114">
        <v>5.0</v>
      </c>
      <c r="C13" s="114">
        <v>0.0</v>
      </c>
      <c r="D13" s="114">
        <v>3.0</v>
      </c>
      <c r="E13" s="112">
        <f>AVERAGE(B13:D13)</f>
        <v>2.666666667</v>
      </c>
      <c r="F13" s="114">
        <v>5.0</v>
      </c>
      <c r="G13" s="114">
        <v>0.0</v>
      </c>
      <c r="H13" s="114">
        <v>5.0</v>
      </c>
      <c r="I13" s="110">
        <f t="shared" ref="I13:I14" si="7">AVERAGE(F13:H13)</f>
        <v>3.333333333</v>
      </c>
      <c r="J13" s="114">
        <v>8.0</v>
      </c>
      <c r="K13" s="114">
        <v>3.0</v>
      </c>
      <c r="L13" s="114">
        <v>5.0</v>
      </c>
      <c r="M13" s="112">
        <f t="shared" ref="M13:M14" si="8">AVERAGE(J13:L13)</f>
        <v>5.333333333</v>
      </c>
      <c r="N13" s="114">
        <v>38.0</v>
      </c>
      <c r="O13" s="114">
        <v>30.0</v>
      </c>
      <c r="P13" s="114">
        <v>33.0</v>
      </c>
      <c r="Q13" s="110">
        <f t="shared" ref="Q13:Q16" si="9">AVERAGE(N13:P13)</f>
        <v>33.66666667</v>
      </c>
      <c r="R13" s="114">
        <v>13.0</v>
      </c>
      <c r="S13" s="114">
        <v>6.0</v>
      </c>
      <c r="T13" s="114">
        <v>6.0</v>
      </c>
      <c r="U13" s="112">
        <f t="shared" ref="U13:U14" si="10">AVERAGE(R13:T13)</f>
        <v>8.333333333</v>
      </c>
      <c r="V13" s="114">
        <v>27.0</v>
      </c>
      <c r="W13" s="114">
        <v>21.0</v>
      </c>
      <c r="X13" s="114">
        <v>30.0</v>
      </c>
      <c r="Y13" s="112">
        <f t="shared" ref="Y13:Y16" si="11">AVERAGE(V13:X13)</f>
        <v>26</v>
      </c>
    </row>
    <row r="14">
      <c r="A14" s="106" t="s">
        <v>31</v>
      </c>
      <c r="B14" s="111"/>
      <c r="E14" s="112"/>
      <c r="F14" s="114">
        <v>4.0</v>
      </c>
      <c r="G14" s="114">
        <v>5.0</v>
      </c>
      <c r="H14" s="114">
        <v>6.0</v>
      </c>
      <c r="I14" s="110">
        <f t="shared" si="7"/>
        <v>5</v>
      </c>
      <c r="J14" s="114">
        <v>11.0</v>
      </c>
      <c r="K14" s="114">
        <v>8.0</v>
      </c>
      <c r="L14" s="114">
        <v>10.0</v>
      </c>
      <c r="M14" s="112">
        <f t="shared" si="8"/>
        <v>9.666666667</v>
      </c>
      <c r="N14" s="114">
        <v>26.0</v>
      </c>
      <c r="O14" s="114">
        <v>24.0</v>
      </c>
      <c r="P14" s="114">
        <v>18.0</v>
      </c>
      <c r="Q14" s="110">
        <f t="shared" si="9"/>
        <v>22.66666667</v>
      </c>
      <c r="R14" s="114">
        <v>14.0</v>
      </c>
      <c r="S14" s="114">
        <v>13.0</v>
      </c>
      <c r="T14" s="114">
        <v>12.0</v>
      </c>
      <c r="U14" s="112">
        <f t="shared" si="10"/>
        <v>13</v>
      </c>
      <c r="V14" s="114">
        <v>20.0</v>
      </c>
      <c r="W14" s="114">
        <v>10.0</v>
      </c>
      <c r="X14" s="114">
        <v>15.0</v>
      </c>
      <c r="Y14" s="112">
        <f t="shared" si="11"/>
        <v>15</v>
      </c>
    </row>
    <row r="15">
      <c r="A15" s="106" t="s">
        <v>79</v>
      </c>
      <c r="B15" s="114">
        <v>3.0</v>
      </c>
      <c r="C15" s="114">
        <v>2.0</v>
      </c>
      <c r="D15" s="114">
        <v>2.0</v>
      </c>
      <c r="E15" s="112">
        <f t="shared" ref="E15:E17" si="12">AVERAGE(B15:D15)</f>
        <v>2.333333333</v>
      </c>
      <c r="I15" s="110"/>
      <c r="J15" s="111"/>
      <c r="M15" s="112"/>
      <c r="N15" s="114">
        <v>0.0</v>
      </c>
      <c r="O15" s="114">
        <v>3.0</v>
      </c>
      <c r="P15" s="114">
        <v>0.0</v>
      </c>
      <c r="Q15" s="110">
        <f t="shared" si="9"/>
        <v>1</v>
      </c>
      <c r="R15" s="111"/>
      <c r="U15" s="112"/>
      <c r="V15" s="114">
        <v>1.0</v>
      </c>
      <c r="W15" s="114">
        <v>0.0</v>
      </c>
      <c r="X15" s="114">
        <v>1.0</v>
      </c>
      <c r="Y15" s="112">
        <f t="shared" si="11"/>
        <v>0.6666666667</v>
      </c>
    </row>
    <row r="16">
      <c r="A16" s="106" t="s">
        <v>34</v>
      </c>
      <c r="B16" s="114">
        <v>19.0</v>
      </c>
      <c r="C16" s="114">
        <v>13.0</v>
      </c>
      <c r="D16" s="114">
        <v>13.0</v>
      </c>
      <c r="E16" s="112">
        <f t="shared" si="12"/>
        <v>15</v>
      </c>
      <c r="F16" s="114">
        <v>0.0</v>
      </c>
      <c r="G16" s="114">
        <v>0.0</v>
      </c>
      <c r="H16" s="114">
        <v>1.0</v>
      </c>
      <c r="I16" s="110">
        <f>AVERAGE(F16:H16)</f>
        <v>0.3333333333</v>
      </c>
      <c r="J16" s="114">
        <v>12.0</v>
      </c>
      <c r="K16" s="114">
        <v>4.0</v>
      </c>
      <c r="L16" s="114">
        <v>12.0</v>
      </c>
      <c r="M16" s="112">
        <f>AVERAGE(J16:L16)</f>
        <v>9.333333333</v>
      </c>
      <c r="N16" s="114">
        <v>0.0</v>
      </c>
      <c r="O16" s="114">
        <v>1.0</v>
      </c>
      <c r="P16" s="114">
        <v>2.0</v>
      </c>
      <c r="Q16" s="110">
        <f t="shared" si="9"/>
        <v>1</v>
      </c>
      <c r="R16" s="116"/>
      <c r="U16" s="117"/>
      <c r="V16" s="114">
        <v>3.0</v>
      </c>
      <c r="W16" s="114">
        <v>2.0</v>
      </c>
      <c r="X16" s="114">
        <v>1.0</v>
      </c>
      <c r="Y16" s="112">
        <f t="shared" si="11"/>
        <v>2</v>
      </c>
    </row>
    <row r="17">
      <c r="A17" s="118" t="s">
        <v>80</v>
      </c>
      <c r="B17" s="114">
        <v>0.0</v>
      </c>
      <c r="C17" s="114">
        <v>0.0</v>
      </c>
      <c r="D17" s="114">
        <v>2.0</v>
      </c>
      <c r="E17" s="127">
        <f t="shared" si="12"/>
        <v>0.6666666667</v>
      </c>
      <c r="F17" s="122"/>
      <c r="G17" s="122"/>
      <c r="H17" s="122"/>
      <c r="I17" s="123"/>
      <c r="J17" s="124"/>
      <c r="K17" s="125"/>
      <c r="L17" s="125"/>
      <c r="M17" s="126"/>
      <c r="N17" s="125"/>
      <c r="O17" s="125"/>
      <c r="P17" s="125"/>
      <c r="Q17" s="125"/>
      <c r="R17" s="124"/>
      <c r="S17" s="125"/>
      <c r="T17" s="125"/>
      <c r="U17" s="126"/>
      <c r="V17" s="122"/>
      <c r="W17" s="122"/>
      <c r="X17" s="122"/>
      <c r="Y17" s="127"/>
    </row>
    <row r="21">
      <c r="A21" s="4" t="s">
        <v>81</v>
      </c>
    </row>
    <row r="22">
      <c r="A22" s="2" t="s">
        <v>76</v>
      </c>
    </row>
    <row r="23">
      <c r="A23" s="150" t="s">
        <v>65</v>
      </c>
      <c r="B23" s="101" t="s">
        <v>31</v>
      </c>
      <c r="C23" s="101" t="s">
        <v>32</v>
      </c>
      <c r="D23" s="101" t="s">
        <v>33</v>
      </c>
      <c r="E23" s="101" t="s">
        <v>34</v>
      </c>
      <c r="F23" s="101" t="s">
        <v>35</v>
      </c>
      <c r="G23" s="151" t="s">
        <v>36</v>
      </c>
      <c r="I23" s="18"/>
      <c r="K23" s="152" t="s">
        <v>90</v>
      </c>
      <c r="L23" s="102"/>
      <c r="M23" s="102"/>
      <c r="N23" s="102"/>
      <c r="O23" s="102"/>
    </row>
    <row r="24">
      <c r="A24" s="153" t="s">
        <v>40</v>
      </c>
      <c r="B24" s="154" t="s">
        <v>78</v>
      </c>
      <c r="C24" s="154" t="s">
        <v>78</v>
      </c>
      <c r="D24" s="154" t="s">
        <v>78</v>
      </c>
      <c r="E24" s="154" t="s">
        <v>78</v>
      </c>
      <c r="F24" s="154" t="s">
        <v>78</v>
      </c>
      <c r="G24" s="154" t="s">
        <v>78</v>
      </c>
      <c r="I24" s="50"/>
      <c r="J24" s="1" t="s">
        <v>83</v>
      </c>
      <c r="K24" s="20" t="s">
        <v>40</v>
      </c>
      <c r="L24" s="21" t="s">
        <v>84</v>
      </c>
      <c r="M24" s="21" t="s">
        <v>85</v>
      </c>
      <c r="N24" s="21" t="s">
        <v>86</v>
      </c>
      <c r="O24" s="22" t="s">
        <v>87</v>
      </c>
    </row>
    <row r="25">
      <c r="A25" s="155" t="s">
        <v>3</v>
      </c>
      <c r="B25" s="132">
        <v>4.66666666666667</v>
      </c>
      <c r="C25" s="132">
        <v>1.66666666666667</v>
      </c>
      <c r="D25" s="132">
        <v>2.66666666666667</v>
      </c>
      <c r="E25" s="132">
        <v>7.0</v>
      </c>
      <c r="F25" s="132">
        <v>0.666666666666667</v>
      </c>
      <c r="G25" s="132">
        <v>5.66666666666667</v>
      </c>
      <c r="I25" s="141"/>
      <c r="J25" s="2">
        <v>18.0</v>
      </c>
      <c r="K25" s="24" t="s">
        <v>3</v>
      </c>
      <c r="L25" s="156">
        <f t="shared" ref="L25:L46" si="13">SUM(B25,C25,D25,E25,F25,G25)/6</f>
        <v>3.722222222</v>
      </c>
      <c r="M25" s="157">
        <f t="shared" ref="M25:M47" si="14">L25/J25</f>
        <v>0.2067901235</v>
      </c>
      <c r="N25" s="158">
        <f t="shared" ref="N25:N46" si="15">SUM(B49,C49,D49,E49,F49,G49,)/6</f>
        <v>0.9444444444</v>
      </c>
      <c r="O25" s="159">
        <f t="shared" ref="O25:O46" si="16">N25/J25</f>
        <v>0.0524691358</v>
      </c>
    </row>
    <row r="26">
      <c r="A26" s="160" t="s">
        <v>10</v>
      </c>
      <c r="B26" s="138">
        <v>5.33333333333333</v>
      </c>
      <c r="C26" s="138">
        <v>8.0</v>
      </c>
      <c r="D26" s="138">
        <v>2.66666666666667</v>
      </c>
      <c r="E26" s="138">
        <v>14.0</v>
      </c>
      <c r="F26" s="138">
        <v>5.0</v>
      </c>
      <c r="G26" s="138">
        <v>11.3333333333333</v>
      </c>
      <c r="I26" s="141"/>
      <c r="J26" s="2">
        <v>13.0</v>
      </c>
      <c r="K26" s="24" t="s">
        <v>10</v>
      </c>
      <c r="L26" s="156">
        <f t="shared" si="13"/>
        <v>7.722222222</v>
      </c>
      <c r="M26" s="157">
        <f t="shared" si="14"/>
        <v>0.594017094</v>
      </c>
      <c r="N26" s="158">
        <f t="shared" si="15"/>
        <v>2.111111111</v>
      </c>
      <c r="O26" s="159">
        <f t="shared" si="16"/>
        <v>0.1623931624</v>
      </c>
    </row>
    <row r="27">
      <c r="A27" s="160" t="s">
        <v>17</v>
      </c>
      <c r="B27" s="138">
        <v>3.33333333333333</v>
      </c>
      <c r="C27" s="138">
        <v>2.66666666666667</v>
      </c>
      <c r="D27" s="138">
        <v>1.33333333333333</v>
      </c>
      <c r="E27" s="138">
        <v>6.33333333333333</v>
      </c>
      <c r="F27" s="138">
        <v>1.0</v>
      </c>
      <c r="G27" s="138">
        <v>2.0</v>
      </c>
      <c r="I27" s="141"/>
      <c r="J27" s="2">
        <v>7.0</v>
      </c>
      <c r="K27" s="24" t="s">
        <v>17</v>
      </c>
      <c r="L27" s="156">
        <f t="shared" si="13"/>
        <v>2.777777778</v>
      </c>
      <c r="M27" s="157">
        <f t="shared" si="14"/>
        <v>0.3968253968</v>
      </c>
      <c r="N27" s="158">
        <f t="shared" si="15"/>
        <v>0.7777777778</v>
      </c>
      <c r="O27" s="159">
        <f t="shared" si="16"/>
        <v>0.1111111111</v>
      </c>
    </row>
    <row r="28">
      <c r="A28" s="160" t="s">
        <v>12</v>
      </c>
      <c r="B28" s="138">
        <v>8.0</v>
      </c>
      <c r="C28" s="138">
        <v>1.66666666666667</v>
      </c>
      <c r="D28" s="138">
        <v>2.0</v>
      </c>
      <c r="E28" s="138">
        <v>1.0</v>
      </c>
      <c r="F28" s="138">
        <v>0.333333333333333</v>
      </c>
      <c r="G28" s="138">
        <v>4.0</v>
      </c>
      <c r="I28" s="141"/>
      <c r="J28" s="2">
        <v>11.0</v>
      </c>
      <c r="K28" s="24" t="s">
        <v>12</v>
      </c>
      <c r="L28" s="156">
        <f t="shared" si="13"/>
        <v>2.833333333</v>
      </c>
      <c r="M28" s="157">
        <f t="shared" si="14"/>
        <v>0.2575757576</v>
      </c>
      <c r="N28" s="158">
        <f t="shared" si="15"/>
        <v>0.8333333333</v>
      </c>
      <c r="O28" s="159">
        <f t="shared" si="16"/>
        <v>0.07575757576</v>
      </c>
    </row>
    <row r="29">
      <c r="A29" s="160" t="s">
        <v>21</v>
      </c>
      <c r="B29" s="138">
        <v>0.333333333333333</v>
      </c>
      <c r="C29" s="138"/>
      <c r="D29" s="138"/>
      <c r="E29" s="138">
        <v>0.333333333333333</v>
      </c>
      <c r="F29" s="138"/>
      <c r="G29" s="138"/>
      <c r="I29" s="141"/>
      <c r="J29" s="2">
        <v>1.0</v>
      </c>
      <c r="K29" s="24" t="s">
        <v>21</v>
      </c>
      <c r="L29" s="156">
        <f t="shared" si="13"/>
        <v>0.1111111111</v>
      </c>
      <c r="M29" s="157">
        <f t="shared" si="14"/>
        <v>0.1111111111</v>
      </c>
      <c r="N29" s="158">
        <f t="shared" si="15"/>
        <v>0.05555555556</v>
      </c>
      <c r="O29" s="159">
        <f t="shared" si="16"/>
        <v>0.05555555556</v>
      </c>
    </row>
    <row r="30">
      <c r="A30" s="161" t="s">
        <v>22</v>
      </c>
      <c r="B30" s="138">
        <v>1.0</v>
      </c>
      <c r="C30" s="138"/>
      <c r="D30" s="138"/>
      <c r="E30" s="138">
        <v>0.333333333333333</v>
      </c>
      <c r="F30" s="138"/>
      <c r="G30" s="138"/>
      <c r="I30" s="141"/>
      <c r="J30" s="2">
        <v>1.0</v>
      </c>
      <c r="K30" s="24" t="s">
        <v>22</v>
      </c>
      <c r="L30" s="156">
        <f t="shared" si="13"/>
        <v>0.2222222222</v>
      </c>
      <c r="M30" s="157">
        <f t="shared" si="14"/>
        <v>0.2222222222</v>
      </c>
      <c r="N30" s="158">
        <f t="shared" si="15"/>
        <v>0.1666666667</v>
      </c>
      <c r="O30" s="159">
        <f t="shared" si="16"/>
        <v>0.1666666667</v>
      </c>
    </row>
    <row r="31">
      <c r="A31" s="160" t="s">
        <v>15</v>
      </c>
      <c r="B31" s="138">
        <v>4.0</v>
      </c>
      <c r="C31" s="138">
        <v>2.0</v>
      </c>
      <c r="D31" s="138">
        <v>0.666666666666667</v>
      </c>
      <c r="E31" s="138">
        <v>8.66666666666667</v>
      </c>
      <c r="F31" s="138">
        <v>2.0</v>
      </c>
      <c r="G31" s="138">
        <v>6.66666666666667</v>
      </c>
      <c r="I31" s="141"/>
      <c r="J31" s="2">
        <v>8.0</v>
      </c>
      <c r="K31" s="24" t="s">
        <v>15</v>
      </c>
      <c r="L31" s="156">
        <f t="shared" si="13"/>
        <v>4</v>
      </c>
      <c r="M31" s="157">
        <f t="shared" si="14"/>
        <v>0.5</v>
      </c>
      <c r="N31" s="158">
        <f t="shared" si="15"/>
        <v>0.6666666667</v>
      </c>
      <c r="O31" s="159">
        <f t="shared" si="16"/>
        <v>0.08333333333</v>
      </c>
    </row>
    <row r="32">
      <c r="A32" s="160" t="s">
        <v>4</v>
      </c>
      <c r="B32" s="138">
        <v>14.0</v>
      </c>
      <c r="C32" s="138">
        <v>3.66666666666667</v>
      </c>
      <c r="D32" s="138">
        <v>4.33333333333333</v>
      </c>
      <c r="E32" s="138">
        <v>7.33333333333333</v>
      </c>
      <c r="F32" s="138">
        <v>0.666666666666667</v>
      </c>
      <c r="G32" s="138">
        <v>6.0</v>
      </c>
      <c r="I32" s="141"/>
      <c r="J32" s="2">
        <v>17.0</v>
      </c>
      <c r="K32" s="24" t="s">
        <v>4</v>
      </c>
      <c r="L32" s="156">
        <f t="shared" si="13"/>
        <v>6</v>
      </c>
      <c r="M32" s="157">
        <f t="shared" si="14"/>
        <v>0.3529411765</v>
      </c>
      <c r="N32" s="158">
        <f t="shared" si="15"/>
        <v>1.555555556</v>
      </c>
      <c r="O32" s="159">
        <f t="shared" si="16"/>
        <v>0.09150326797</v>
      </c>
    </row>
    <row r="33">
      <c r="A33" s="160" t="s">
        <v>13</v>
      </c>
      <c r="B33" s="138">
        <v>1.33333333333333</v>
      </c>
      <c r="C33" s="138">
        <v>0.666666666666667</v>
      </c>
      <c r="D33" s="138"/>
      <c r="E33" s="138">
        <v>1.0</v>
      </c>
      <c r="F33" s="138">
        <v>0.666666666666667</v>
      </c>
      <c r="G33" s="138">
        <v>2.66666666666667</v>
      </c>
      <c r="I33" s="141"/>
      <c r="J33" s="2">
        <v>10.0</v>
      </c>
      <c r="K33" s="24" t="s">
        <v>13</v>
      </c>
      <c r="L33" s="156">
        <f t="shared" si="13"/>
        <v>1.055555556</v>
      </c>
      <c r="M33" s="157">
        <f t="shared" si="14"/>
        <v>0.1055555556</v>
      </c>
      <c r="N33" s="158">
        <f t="shared" si="15"/>
        <v>0.7777777778</v>
      </c>
      <c r="O33" s="159">
        <f t="shared" si="16"/>
        <v>0.07777777778</v>
      </c>
    </row>
    <row r="34">
      <c r="A34" s="160" t="s">
        <v>23</v>
      </c>
      <c r="B34" s="138">
        <v>0.333333333333333</v>
      </c>
      <c r="C34" s="138">
        <v>1.33333333333333</v>
      </c>
      <c r="D34" s="138">
        <v>1.66666666666667</v>
      </c>
      <c r="E34" s="138">
        <v>1.0</v>
      </c>
      <c r="F34" s="138">
        <v>0.333333333333333</v>
      </c>
      <c r="G34" s="138"/>
      <c r="I34" s="141"/>
      <c r="J34" s="2">
        <v>1.0</v>
      </c>
      <c r="K34" s="24" t="s">
        <v>23</v>
      </c>
      <c r="L34" s="156">
        <f t="shared" si="13"/>
        <v>0.7777777778</v>
      </c>
      <c r="M34" s="157">
        <f t="shared" si="14"/>
        <v>0.7777777778</v>
      </c>
      <c r="N34" s="158">
        <f t="shared" si="15"/>
        <v>0.6666666667</v>
      </c>
      <c r="O34" s="159">
        <f t="shared" si="16"/>
        <v>0.6666666667</v>
      </c>
    </row>
    <row r="35">
      <c r="A35" s="161" t="s">
        <v>88</v>
      </c>
      <c r="B35" s="138"/>
      <c r="C35" s="138"/>
      <c r="D35" s="138"/>
      <c r="E35" s="138"/>
      <c r="F35" s="138"/>
      <c r="G35" s="138"/>
      <c r="I35" s="141"/>
      <c r="J35" s="2">
        <v>1.0</v>
      </c>
      <c r="K35" s="24" t="s">
        <v>88</v>
      </c>
      <c r="L35" s="156">
        <f t="shared" si="13"/>
        <v>0</v>
      </c>
      <c r="M35" s="157">
        <f t="shared" si="14"/>
        <v>0</v>
      </c>
      <c r="N35" s="158">
        <f t="shared" si="15"/>
        <v>0.2222222222</v>
      </c>
      <c r="O35" s="159">
        <f t="shared" si="16"/>
        <v>0.2222222222</v>
      </c>
    </row>
    <row r="36">
      <c r="A36" s="160" t="s">
        <v>14</v>
      </c>
      <c r="B36" s="138">
        <v>1.0</v>
      </c>
      <c r="C36" s="138"/>
      <c r="D36" s="138">
        <v>0.333333333333333</v>
      </c>
      <c r="E36" s="138">
        <v>5.66666666666667</v>
      </c>
      <c r="F36" s="138">
        <v>0.333333333333333</v>
      </c>
      <c r="G36" s="138">
        <v>2.0</v>
      </c>
      <c r="I36" s="141"/>
      <c r="J36" s="2">
        <v>9.0</v>
      </c>
      <c r="K36" s="24" t="s">
        <v>14</v>
      </c>
      <c r="L36" s="156">
        <f t="shared" si="13"/>
        <v>1.555555556</v>
      </c>
      <c r="M36" s="157">
        <f t="shared" si="14"/>
        <v>0.1728395062</v>
      </c>
      <c r="N36" s="158">
        <f t="shared" si="15"/>
        <v>2.111111111</v>
      </c>
      <c r="O36" s="159">
        <f t="shared" si="16"/>
        <v>0.2345679012</v>
      </c>
    </row>
    <row r="37">
      <c r="A37" s="160" t="s">
        <v>2</v>
      </c>
      <c r="B37" s="138">
        <v>1.66666666666667</v>
      </c>
      <c r="C37" s="138">
        <v>1.0</v>
      </c>
      <c r="D37" s="138">
        <v>1.33333333333333</v>
      </c>
      <c r="E37" s="138">
        <v>15.6666666666667</v>
      </c>
      <c r="F37" s="138">
        <v>1.0</v>
      </c>
      <c r="G37" s="138">
        <v>9.0</v>
      </c>
      <c r="I37" s="141"/>
      <c r="J37" s="2">
        <v>20.0</v>
      </c>
      <c r="K37" s="24" t="s">
        <v>2</v>
      </c>
      <c r="L37" s="156">
        <f t="shared" si="13"/>
        <v>4.944444444</v>
      </c>
      <c r="M37" s="157">
        <f t="shared" si="14"/>
        <v>0.2472222222</v>
      </c>
      <c r="N37" s="158">
        <f t="shared" si="15"/>
        <v>1.777777778</v>
      </c>
      <c r="O37" s="159">
        <f t="shared" si="16"/>
        <v>0.08888888889</v>
      </c>
    </row>
    <row r="38">
      <c r="A38" s="160" t="s">
        <v>7</v>
      </c>
      <c r="B38" s="138">
        <v>6.0</v>
      </c>
      <c r="C38" s="138">
        <v>15.3333333333333</v>
      </c>
      <c r="D38" s="138">
        <v>12.0</v>
      </c>
      <c r="E38" s="138">
        <v>29.6666666666667</v>
      </c>
      <c r="F38" s="138">
        <v>11.3333333333333</v>
      </c>
      <c r="G38" s="138">
        <v>18.3333333333333</v>
      </c>
      <c r="I38" s="141"/>
      <c r="J38" s="2">
        <v>15.0</v>
      </c>
      <c r="K38" s="24" t="s">
        <v>7</v>
      </c>
      <c r="L38" s="156">
        <f t="shared" si="13"/>
        <v>15.44444444</v>
      </c>
      <c r="M38" s="157">
        <f t="shared" si="14"/>
        <v>1.02962963</v>
      </c>
      <c r="N38" s="158">
        <f t="shared" si="15"/>
        <v>2.5</v>
      </c>
      <c r="O38" s="159">
        <f t="shared" si="16"/>
        <v>0.1666666667</v>
      </c>
    </row>
    <row r="39">
      <c r="A39" s="160" t="s">
        <v>18</v>
      </c>
      <c r="B39" s="138">
        <v>1.33333333333333</v>
      </c>
      <c r="C39" s="138">
        <v>1.0</v>
      </c>
      <c r="D39" s="138">
        <v>0.333333333333333</v>
      </c>
      <c r="E39" s="138">
        <v>5.33333333333333</v>
      </c>
      <c r="F39" s="138"/>
      <c r="G39" s="138">
        <v>1.66666666666667</v>
      </c>
      <c r="I39" s="141"/>
      <c r="J39" s="2">
        <v>5.0</v>
      </c>
      <c r="K39" s="24" t="s">
        <v>18</v>
      </c>
      <c r="L39" s="156">
        <f t="shared" si="13"/>
        <v>1.611111111</v>
      </c>
      <c r="M39" s="157">
        <f t="shared" si="14"/>
        <v>0.3222222222</v>
      </c>
      <c r="N39" s="158">
        <f t="shared" si="15"/>
        <v>0.7222222222</v>
      </c>
      <c r="O39" s="159">
        <f t="shared" si="16"/>
        <v>0.1444444444</v>
      </c>
    </row>
    <row r="40">
      <c r="A40" s="160" t="s">
        <v>5</v>
      </c>
      <c r="B40" s="138">
        <v>7.33333333333333</v>
      </c>
      <c r="C40" s="138">
        <v>4.33333333333333</v>
      </c>
      <c r="D40" s="138">
        <v>2.33333333333333</v>
      </c>
      <c r="E40" s="138">
        <v>20.3333333333333</v>
      </c>
      <c r="F40" s="138">
        <v>3.33333333333333</v>
      </c>
      <c r="G40" s="138">
        <v>10.3333333333333</v>
      </c>
      <c r="I40" s="141"/>
      <c r="J40" s="2">
        <v>16.0</v>
      </c>
      <c r="K40" s="24" t="s">
        <v>5</v>
      </c>
      <c r="L40" s="156">
        <f t="shared" si="13"/>
        <v>8</v>
      </c>
      <c r="M40" s="157">
        <f t="shared" si="14"/>
        <v>0.5</v>
      </c>
      <c r="N40" s="158">
        <f t="shared" si="15"/>
        <v>4.333333333</v>
      </c>
      <c r="O40" s="159">
        <f t="shared" si="16"/>
        <v>0.2708333333</v>
      </c>
    </row>
    <row r="41">
      <c r="A41" s="160" t="s">
        <v>8</v>
      </c>
      <c r="B41" s="138">
        <v>3.33333333333333</v>
      </c>
      <c r="C41" s="138">
        <v>0.666666666666667</v>
      </c>
      <c r="D41" s="138"/>
      <c r="E41" s="138">
        <v>11.3333333333333</v>
      </c>
      <c r="F41" s="138"/>
      <c r="G41" s="138">
        <v>7.66666666666667</v>
      </c>
      <c r="I41" s="141"/>
      <c r="J41" s="2">
        <v>15.0</v>
      </c>
      <c r="K41" s="24" t="s">
        <v>8</v>
      </c>
      <c r="L41" s="156">
        <f t="shared" si="13"/>
        <v>3.833333333</v>
      </c>
      <c r="M41" s="157">
        <f t="shared" si="14"/>
        <v>0.2555555556</v>
      </c>
      <c r="N41" s="158">
        <f t="shared" si="15"/>
        <v>0.9444444444</v>
      </c>
      <c r="O41" s="159">
        <f t="shared" si="16"/>
        <v>0.06296296296</v>
      </c>
    </row>
    <row r="42">
      <c r="A42" s="160" t="s">
        <v>9</v>
      </c>
      <c r="B42" s="138">
        <v>6.33333333333333</v>
      </c>
      <c r="C42" s="138">
        <v>3.33333333333333</v>
      </c>
      <c r="D42" s="138">
        <v>3.0</v>
      </c>
      <c r="E42" s="138">
        <v>3.66666666666667</v>
      </c>
      <c r="F42" s="138">
        <v>2.33333333333333</v>
      </c>
      <c r="G42" s="138">
        <v>3.0</v>
      </c>
      <c r="I42" s="141"/>
      <c r="J42" s="2">
        <v>15.0</v>
      </c>
      <c r="K42" s="24" t="s">
        <v>9</v>
      </c>
      <c r="L42" s="156">
        <f t="shared" si="13"/>
        <v>3.611111111</v>
      </c>
      <c r="M42" s="157">
        <f t="shared" si="14"/>
        <v>0.2407407407</v>
      </c>
      <c r="N42" s="158">
        <f t="shared" si="15"/>
        <v>1.055555556</v>
      </c>
      <c r="O42" s="159">
        <f t="shared" si="16"/>
        <v>0.07037037037</v>
      </c>
    </row>
    <row r="43">
      <c r="A43" s="160" t="s">
        <v>6</v>
      </c>
      <c r="B43" s="138">
        <v>13.0</v>
      </c>
      <c r="C43" s="138">
        <v>6.33333333333333</v>
      </c>
      <c r="D43" s="138">
        <v>9.66666666666667</v>
      </c>
      <c r="E43" s="138">
        <v>20.3333333333333</v>
      </c>
      <c r="F43" s="138">
        <v>4.66666666666667</v>
      </c>
      <c r="G43" s="138">
        <v>12.0</v>
      </c>
      <c r="I43" s="141"/>
      <c r="J43" s="2">
        <v>16.0</v>
      </c>
      <c r="K43" s="24" t="s">
        <v>6</v>
      </c>
      <c r="L43" s="156">
        <f t="shared" si="13"/>
        <v>11</v>
      </c>
      <c r="M43" s="157">
        <f t="shared" si="14"/>
        <v>0.6875</v>
      </c>
      <c r="N43" s="158">
        <f t="shared" si="15"/>
        <v>2.166666667</v>
      </c>
      <c r="O43" s="159">
        <f t="shared" si="16"/>
        <v>0.1354166667</v>
      </c>
    </row>
    <row r="44">
      <c r="A44" s="160" t="s">
        <v>20</v>
      </c>
      <c r="B44" s="138">
        <v>1.66666666666667</v>
      </c>
      <c r="C44" s="138">
        <v>0.333333333333333</v>
      </c>
      <c r="D44" s="138">
        <v>0.333333333333333</v>
      </c>
      <c r="E44" s="138">
        <v>3.66666666666667</v>
      </c>
      <c r="F44" s="138">
        <v>0.666666666666667</v>
      </c>
      <c r="G44" s="138">
        <v>1.66666666666667</v>
      </c>
      <c r="I44" s="141"/>
      <c r="J44" s="2">
        <v>3.0</v>
      </c>
      <c r="K44" s="24" t="s">
        <v>20</v>
      </c>
      <c r="L44" s="156">
        <f t="shared" si="13"/>
        <v>1.388888889</v>
      </c>
      <c r="M44" s="157">
        <f t="shared" si="14"/>
        <v>0.462962963</v>
      </c>
      <c r="N44" s="158">
        <f t="shared" si="15"/>
        <v>0.8333333333</v>
      </c>
      <c r="O44" s="159">
        <f t="shared" si="16"/>
        <v>0.2777777778</v>
      </c>
    </row>
    <row r="45">
      <c r="A45" s="160" t="s">
        <v>16</v>
      </c>
      <c r="B45" s="138">
        <v>2.66666666666667</v>
      </c>
      <c r="C45" s="138">
        <v>4.0</v>
      </c>
      <c r="D45" s="138">
        <v>6.33333333333333</v>
      </c>
      <c r="E45" s="138">
        <v>8.0</v>
      </c>
      <c r="F45" s="138">
        <v>2.66666666666667</v>
      </c>
      <c r="G45" s="138">
        <v>3.66666666666667</v>
      </c>
      <c r="I45" s="141"/>
      <c r="J45" s="2">
        <v>8.0</v>
      </c>
      <c r="K45" s="24" t="s">
        <v>16</v>
      </c>
      <c r="L45" s="156">
        <f t="shared" si="13"/>
        <v>4.555555556</v>
      </c>
      <c r="M45" s="157">
        <f t="shared" si="14"/>
        <v>0.5694444444</v>
      </c>
      <c r="N45" s="158">
        <f t="shared" si="15"/>
        <v>3</v>
      </c>
      <c r="O45" s="159">
        <f t="shared" si="16"/>
        <v>0.375</v>
      </c>
    </row>
    <row r="46">
      <c r="A46" s="160" t="s">
        <v>11</v>
      </c>
      <c r="B46" s="138">
        <v>1.33333333333333</v>
      </c>
      <c r="C46" s="138">
        <v>1.66666666666667</v>
      </c>
      <c r="D46" s="138">
        <v>0.666666666666667</v>
      </c>
      <c r="E46" s="138">
        <v>8.66666666666667</v>
      </c>
      <c r="F46" s="138">
        <v>0.333333333333333</v>
      </c>
      <c r="G46" s="138">
        <v>4.0</v>
      </c>
      <c r="I46" s="141"/>
      <c r="J46" s="2">
        <v>13.0</v>
      </c>
      <c r="K46" s="24" t="s">
        <v>11</v>
      </c>
      <c r="L46" s="156">
        <f t="shared" si="13"/>
        <v>2.777777778</v>
      </c>
      <c r="M46" s="157">
        <f t="shared" si="14"/>
        <v>0.2136752137</v>
      </c>
      <c r="N46" s="158">
        <f t="shared" si="15"/>
        <v>0.8333333333</v>
      </c>
      <c r="O46" s="159">
        <f t="shared" si="16"/>
        <v>0.0641025641</v>
      </c>
    </row>
    <row r="47">
      <c r="A47" s="150" t="s">
        <v>68</v>
      </c>
      <c r="B47" s="101" t="s">
        <v>31</v>
      </c>
      <c r="C47" s="101" t="s">
        <v>32</v>
      </c>
      <c r="D47" s="101" t="s">
        <v>33</v>
      </c>
      <c r="E47" s="101" t="s">
        <v>34</v>
      </c>
      <c r="F47" s="101" t="s">
        <v>35</v>
      </c>
      <c r="G47" s="151" t="s">
        <v>36</v>
      </c>
      <c r="H47" s="18"/>
      <c r="I47" s="18"/>
      <c r="J47" s="2">
        <v>1.0</v>
      </c>
      <c r="K47" s="2" t="s">
        <v>26</v>
      </c>
      <c r="L47" s="44">
        <v>0.0</v>
      </c>
      <c r="M47" s="157">
        <f t="shared" si="14"/>
        <v>0</v>
      </c>
      <c r="N47" s="162">
        <v>0.0</v>
      </c>
      <c r="O47" s="159">
        <f>N47/J46</f>
        <v>0</v>
      </c>
    </row>
    <row r="48">
      <c r="A48" s="153" t="s">
        <v>40</v>
      </c>
      <c r="B48" s="154" t="s">
        <v>78</v>
      </c>
      <c r="C48" s="154" t="s">
        <v>78</v>
      </c>
      <c r="D48" s="154" t="s">
        <v>78</v>
      </c>
      <c r="E48" s="154" t="s">
        <v>78</v>
      </c>
      <c r="F48" s="154" t="s">
        <v>78</v>
      </c>
      <c r="G48" s="154" t="s">
        <v>78</v>
      </c>
      <c r="H48" s="50"/>
      <c r="I48" s="50"/>
      <c r="J48" s="50"/>
      <c r="K48" s="50"/>
      <c r="L48" s="50"/>
      <c r="M48" s="50"/>
    </row>
    <row r="49">
      <c r="A49" s="155" t="s">
        <v>3</v>
      </c>
      <c r="B49" s="132">
        <v>0.666666666666667</v>
      </c>
      <c r="C49" s="146"/>
      <c r="D49" s="170"/>
      <c r="E49" s="132">
        <v>1.66666666666667</v>
      </c>
      <c r="F49" s="132">
        <v>1.0</v>
      </c>
      <c r="G49" s="132">
        <v>2.33333333333333</v>
      </c>
      <c r="H49" s="164"/>
      <c r="I49" s="141"/>
      <c r="J49" s="164"/>
      <c r="K49" s="141"/>
      <c r="L49" s="141"/>
      <c r="M49" s="141"/>
    </row>
    <row r="50">
      <c r="A50" s="160" t="s">
        <v>10</v>
      </c>
      <c r="B50" s="138">
        <v>1.33333333333333</v>
      </c>
      <c r="C50" s="138"/>
      <c r="D50" s="161">
        <v>1.66666666666667</v>
      </c>
      <c r="E50" s="138">
        <v>4.0</v>
      </c>
      <c r="F50" s="138">
        <v>3.33333333333333</v>
      </c>
      <c r="G50" s="138">
        <v>2.33333333333333</v>
      </c>
      <c r="H50" s="164"/>
      <c r="I50" s="141"/>
      <c r="J50" s="164"/>
      <c r="K50" s="141"/>
      <c r="L50" s="141"/>
      <c r="M50" s="141"/>
    </row>
    <row r="51">
      <c r="A51" s="160" t="s">
        <v>17</v>
      </c>
      <c r="B51" s="138">
        <v>0.666666666666667</v>
      </c>
      <c r="D51" s="161">
        <v>0.666666666666667</v>
      </c>
      <c r="E51" s="138">
        <v>2.33333333333333</v>
      </c>
      <c r="F51" s="138">
        <v>0.333333333333333</v>
      </c>
      <c r="G51" s="138">
        <v>0.666666666666667</v>
      </c>
      <c r="H51" s="164"/>
      <c r="I51" s="141"/>
      <c r="J51" s="164"/>
      <c r="K51" s="141"/>
      <c r="L51" s="141"/>
      <c r="M51" s="141"/>
    </row>
    <row r="52">
      <c r="A52" s="160" t="s">
        <v>12</v>
      </c>
      <c r="B52" s="138">
        <v>1.0</v>
      </c>
      <c r="C52" s="138">
        <v>0.333333333333333</v>
      </c>
      <c r="D52" s="161">
        <v>1.0</v>
      </c>
      <c r="E52" s="138">
        <v>0.333333333333333</v>
      </c>
      <c r="G52" s="138">
        <v>2.33333333333333</v>
      </c>
      <c r="H52" s="164"/>
      <c r="I52" s="141"/>
      <c r="J52" s="164"/>
      <c r="K52" s="141"/>
      <c r="L52" s="141"/>
      <c r="M52" s="141"/>
    </row>
    <row r="53">
      <c r="A53" s="160" t="s">
        <v>21</v>
      </c>
      <c r="B53" s="138">
        <v>0.333333333333333</v>
      </c>
      <c r="C53" s="138"/>
      <c r="D53" s="165"/>
      <c r="H53" s="164"/>
      <c r="I53" s="141"/>
      <c r="J53" s="164"/>
      <c r="K53" s="141"/>
      <c r="L53" s="141"/>
      <c r="M53" s="141"/>
    </row>
    <row r="54">
      <c r="A54" s="161" t="s">
        <v>22</v>
      </c>
      <c r="B54" s="138">
        <v>0.666666666666667</v>
      </c>
      <c r="C54" s="138"/>
      <c r="D54" s="165"/>
      <c r="E54" s="138">
        <v>0.333333333333333</v>
      </c>
      <c r="H54" s="141"/>
      <c r="I54" s="141"/>
      <c r="J54" s="141"/>
      <c r="K54" s="141"/>
      <c r="L54" s="141"/>
      <c r="M54" s="141"/>
    </row>
    <row r="55">
      <c r="A55" s="160" t="s">
        <v>15</v>
      </c>
      <c r="B55" s="138">
        <v>0.333333333333333</v>
      </c>
      <c r="C55" s="138"/>
      <c r="D55" s="161">
        <v>0.333333333333333</v>
      </c>
      <c r="E55" s="138">
        <v>0.666666666666667</v>
      </c>
      <c r="F55" s="138">
        <v>1.0</v>
      </c>
      <c r="G55" s="138">
        <v>1.66666666666667</v>
      </c>
      <c r="H55" s="164"/>
      <c r="I55" s="141"/>
      <c r="J55" s="164"/>
      <c r="K55" s="141"/>
      <c r="L55" s="141"/>
      <c r="M55" s="141"/>
    </row>
    <row r="56">
      <c r="A56" s="160" t="s">
        <v>4</v>
      </c>
      <c r="B56" s="138">
        <v>2.33333333333333</v>
      </c>
      <c r="C56" s="138">
        <v>0.333333333333333</v>
      </c>
      <c r="D56" s="161">
        <v>1.66666666666667</v>
      </c>
      <c r="E56" s="138">
        <v>2.0</v>
      </c>
      <c r="F56" s="138">
        <v>0.333333333333333</v>
      </c>
      <c r="G56" s="138">
        <v>2.66666666666667</v>
      </c>
      <c r="H56" s="164"/>
      <c r="I56" s="141"/>
      <c r="J56" s="164"/>
      <c r="K56" s="141"/>
      <c r="L56" s="141"/>
      <c r="M56" s="141"/>
    </row>
    <row r="57">
      <c r="A57" s="160" t="s">
        <v>13</v>
      </c>
      <c r="B57" s="138">
        <v>0.666666666666667</v>
      </c>
      <c r="C57" s="138"/>
      <c r="D57" s="161">
        <v>1.0</v>
      </c>
      <c r="E57" s="138">
        <v>0.666666666666667</v>
      </c>
      <c r="F57" s="138">
        <v>0.666666666666667</v>
      </c>
      <c r="G57" s="138">
        <v>1.66666666666667</v>
      </c>
      <c r="H57" s="164"/>
      <c r="I57" s="141"/>
      <c r="J57" s="164"/>
      <c r="K57" s="141"/>
      <c r="L57" s="141"/>
      <c r="M57" s="141"/>
    </row>
    <row r="58">
      <c r="A58" s="160" t="s">
        <v>23</v>
      </c>
      <c r="B58" s="138">
        <v>0.333333333333333</v>
      </c>
      <c r="C58" s="138">
        <v>0.333333333333333</v>
      </c>
      <c r="D58" s="161">
        <v>0.333333333333333</v>
      </c>
      <c r="E58" s="138">
        <v>1.66666666666667</v>
      </c>
      <c r="F58" s="138">
        <v>0.333333333333333</v>
      </c>
      <c r="G58" s="138">
        <v>1.0</v>
      </c>
      <c r="H58" s="164"/>
      <c r="I58" s="141"/>
      <c r="J58" s="164"/>
      <c r="K58" s="141"/>
      <c r="L58" s="141"/>
      <c r="M58" s="141"/>
    </row>
    <row r="59">
      <c r="A59" s="161" t="s">
        <v>88</v>
      </c>
      <c r="C59" s="138"/>
      <c r="D59" s="161">
        <v>0.0</v>
      </c>
      <c r="E59" s="138">
        <v>0.0</v>
      </c>
      <c r="F59" s="138">
        <v>1.33333333333333</v>
      </c>
      <c r="G59" s="138">
        <v>0.0</v>
      </c>
      <c r="H59" s="141"/>
      <c r="I59" s="141"/>
      <c r="J59" s="141"/>
      <c r="K59" s="141"/>
      <c r="L59" s="141"/>
      <c r="M59" s="141"/>
    </row>
    <row r="60">
      <c r="A60" s="160" t="s">
        <v>14</v>
      </c>
      <c r="B60" s="138">
        <v>1.0</v>
      </c>
      <c r="C60" s="138"/>
      <c r="D60" s="165"/>
      <c r="E60" s="138">
        <v>8.33333333333333</v>
      </c>
      <c r="F60" s="138">
        <v>0.666666666666667</v>
      </c>
      <c r="G60" s="138">
        <v>2.66666666666667</v>
      </c>
      <c r="H60" s="164"/>
      <c r="I60" s="141"/>
      <c r="J60" s="164"/>
      <c r="K60" s="141"/>
      <c r="L60" s="141"/>
      <c r="M60" s="141"/>
    </row>
    <row r="61">
      <c r="A61" s="160" t="s">
        <v>2</v>
      </c>
      <c r="B61" s="138">
        <v>1.0</v>
      </c>
      <c r="C61" s="138"/>
      <c r="D61" s="161">
        <v>1.66666666666667</v>
      </c>
      <c r="E61" s="138">
        <v>3.33333333333333</v>
      </c>
      <c r="F61" s="138">
        <v>1.66666666666667</v>
      </c>
      <c r="G61" s="138">
        <v>3.0</v>
      </c>
      <c r="H61" s="164"/>
      <c r="I61" s="141"/>
      <c r="J61" s="164"/>
      <c r="K61" s="141"/>
      <c r="L61" s="141"/>
      <c r="M61" s="141"/>
    </row>
    <row r="62">
      <c r="A62" s="160" t="s">
        <v>7</v>
      </c>
      <c r="B62" s="138">
        <v>1.66666666666667</v>
      </c>
      <c r="C62" s="138">
        <v>2.66666666666667</v>
      </c>
      <c r="D62" s="161">
        <v>2.0</v>
      </c>
      <c r="E62" s="138">
        <v>4.33333333333333</v>
      </c>
      <c r="F62" s="138">
        <v>2.0</v>
      </c>
      <c r="G62" s="138">
        <v>2.33333333333333</v>
      </c>
      <c r="H62" s="164"/>
      <c r="I62" s="141"/>
      <c r="J62" s="164"/>
      <c r="K62" s="141"/>
      <c r="L62" s="141"/>
      <c r="M62" s="141"/>
    </row>
    <row r="63">
      <c r="A63" s="160" t="s">
        <v>18</v>
      </c>
      <c r="B63" s="138">
        <v>0.666666666666667</v>
      </c>
      <c r="C63" s="138">
        <v>0.666666666666667</v>
      </c>
      <c r="D63" s="161">
        <v>0.333333333333333</v>
      </c>
      <c r="E63" s="138">
        <v>1.66666666666667</v>
      </c>
      <c r="G63" s="138">
        <v>1.0</v>
      </c>
      <c r="H63" s="164"/>
      <c r="I63" s="141"/>
      <c r="J63" s="164"/>
      <c r="K63" s="141"/>
      <c r="L63" s="141"/>
      <c r="M63" s="141"/>
    </row>
    <row r="64">
      <c r="A64" s="160" t="s">
        <v>5</v>
      </c>
      <c r="B64" s="138">
        <v>2.33333333333333</v>
      </c>
      <c r="C64" s="138">
        <v>2.33333333333333</v>
      </c>
      <c r="D64" s="161">
        <v>2.33333333333333</v>
      </c>
      <c r="E64" s="138">
        <v>7.66666666666667</v>
      </c>
      <c r="F64" s="138">
        <v>3.66666666666667</v>
      </c>
      <c r="G64" s="138">
        <v>7.66666666666667</v>
      </c>
      <c r="H64" s="164"/>
      <c r="I64" s="141"/>
      <c r="J64" s="164"/>
      <c r="K64" s="141"/>
      <c r="L64" s="141"/>
      <c r="M64" s="141"/>
    </row>
    <row r="65">
      <c r="A65" s="160" t="s">
        <v>8</v>
      </c>
      <c r="B65" s="138">
        <v>0.333333333333333</v>
      </c>
      <c r="C65" s="138"/>
      <c r="D65" s="161">
        <v>0.333333333333333</v>
      </c>
      <c r="E65" s="138">
        <v>4.0</v>
      </c>
      <c r="G65" s="138">
        <v>1.0</v>
      </c>
      <c r="H65" s="164"/>
      <c r="I65" s="141"/>
      <c r="J65" s="164"/>
      <c r="K65" s="141"/>
      <c r="L65" s="141"/>
      <c r="M65" s="141"/>
    </row>
    <row r="66">
      <c r="A66" s="160" t="s">
        <v>9</v>
      </c>
      <c r="B66" s="138">
        <v>1.66666666666667</v>
      </c>
      <c r="C66" s="138">
        <v>0.333333333333333</v>
      </c>
      <c r="D66" s="161">
        <v>2.0</v>
      </c>
      <c r="E66" s="138">
        <v>1.0</v>
      </c>
      <c r="F66" s="138">
        <v>1.0</v>
      </c>
      <c r="G66" s="138">
        <v>0.333333333333333</v>
      </c>
      <c r="H66" s="164"/>
      <c r="I66" s="141"/>
      <c r="J66" s="164"/>
      <c r="K66" s="141"/>
      <c r="L66" s="141"/>
      <c r="M66" s="141"/>
    </row>
    <row r="67">
      <c r="A67" s="160" t="s">
        <v>6</v>
      </c>
      <c r="B67" s="138">
        <v>1.66666666666667</v>
      </c>
      <c r="C67" s="138">
        <v>1.0</v>
      </c>
      <c r="D67" s="161">
        <v>2.33333333333333</v>
      </c>
      <c r="E67" s="138">
        <v>5.0</v>
      </c>
      <c r="F67" s="138">
        <v>0.666666666666667</v>
      </c>
      <c r="G67" s="138">
        <v>2.33333333333333</v>
      </c>
      <c r="H67" s="164"/>
      <c r="I67" s="141"/>
      <c r="J67" s="164"/>
      <c r="K67" s="141"/>
      <c r="L67" s="141"/>
      <c r="M67" s="141"/>
    </row>
    <row r="68">
      <c r="A68" s="160" t="s">
        <v>20</v>
      </c>
      <c r="B68" s="138">
        <v>0.333333333333333</v>
      </c>
      <c r="C68" s="138">
        <v>0.333333333333333</v>
      </c>
      <c r="D68" s="161">
        <v>0.333333333333333</v>
      </c>
      <c r="E68" s="138">
        <v>0.666666666666667</v>
      </c>
      <c r="F68" s="138">
        <v>1.33333333333333</v>
      </c>
      <c r="G68" s="138">
        <v>2.0</v>
      </c>
      <c r="H68" s="164"/>
      <c r="I68" s="141"/>
      <c r="J68" s="164"/>
      <c r="K68" s="141"/>
      <c r="L68" s="141"/>
      <c r="M68" s="141"/>
    </row>
    <row r="69">
      <c r="A69" s="160" t="s">
        <v>16</v>
      </c>
      <c r="B69" s="138">
        <v>1.33333333333333</v>
      </c>
      <c r="C69" s="138">
        <v>0.333333333333333</v>
      </c>
      <c r="D69" s="161">
        <v>4.0</v>
      </c>
      <c r="E69" s="138">
        <v>6.66666666666667</v>
      </c>
      <c r="F69" s="138">
        <v>1.66666666666667</v>
      </c>
      <c r="G69" s="138">
        <v>4.0</v>
      </c>
      <c r="H69" s="164"/>
      <c r="I69" s="141"/>
      <c r="J69" s="164"/>
      <c r="K69" s="141"/>
      <c r="L69" s="141"/>
      <c r="M69" s="141"/>
    </row>
    <row r="70">
      <c r="A70" s="166" t="s">
        <v>11</v>
      </c>
      <c r="B70" s="138">
        <v>0.333333333333333</v>
      </c>
      <c r="C70" s="142"/>
      <c r="D70" s="167">
        <v>2.0</v>
      </c>
      <c r="E70" s="138">
        <v>1.0</v>
      </c>
      <c r="F70" s="138">
        <v>0.333333333333333</v>
      </c>
      <c r="G70" s="138">
        <v>1.33333333333333</v>
      </c>
      <c r="H70" s="164"/>
      <c r="I70" s="141"/>
      <c r="J70" s="164"/>
      <c r="K70" s="141"/>
      <c r="L70" s="141"/>
      <c r="M70" s="141"/>
    </row>
  </sheetData>
  <conditionalFormatting sqref="A1 A3:D3 N3:P3 A11:B11 C11:D12 N11:P12 M12 A21 A23:T23 A47:M47">
    <cfRule type="containsText" dxfId="0" priority="1" operator="containsText" text="Match found">
      <formula>NOT(ISERROR(SEARCH(("Match found"),(A1))))</formula>
    </cfRule>
  </conditionalFormatting>
  <drawing r:id="rId1"/>
</worksheet>
</file>