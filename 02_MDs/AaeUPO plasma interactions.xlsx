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uelist AaeUPO" sheetId="1" r:id="rId4"/>
    <sheet state="visible" name="SASA_300K" sheetId="2" r:id="rId5"/>
    <sheet state="visible" name="SASA_400K" sheetId="3" r:id="rId6"/>
    <sheet state="visible" name="SASA_500K" sheetId="4" r:id="rId7"/>
    <sheet state="visible" name="SASA_MD" sheetId="5" r:id="rId8"/>
    <sheet state="visible" name="Conc_MD_300K" sheetId="6" r:id="rId9"/>
    <sheet state="visible" name="Conc_MD_400K" sheetId="7" r:id="rId10"/>
    <sheet state="visible" name="Conc_MD_500K" sheetId="8" r:id="rId11"/>
  </sheets>
  <definedNames/>
  <calcPr/>
</workbook>
</file>

<file path=xl/sharedStrings.xml><?xml version="1.0" encoding="utf-8"?>
<sst xmlns="http://schemas.openxmlformats.org/spreadsheetml/2006/main" count="2504" uniqueCount="77">
  <si>
    <t>Residue</t>
  </si>
  <si>
    <t>Amount</t>
  </si>
  <si>
    <t>GLY</t>
  </si>
  <si>
    <t>PRO</t>
  </si>
  <si>
    <t>PHE</t>
  </si>
  <si>
    <t>ALA</t>
  </si>
  <si>
    <t>LEU</t>
  </si>
  <si>
    <t>ASN</t>
  </si>
  <si>
    <t>ASP</t>
  </si>
  <si>
    <t>THR</t>
  </si>
  <si>
    <t>VAL</t>
  </si>
  <si>
    <t>ARG</t>
  </si>
  <si>
    <t>SER</t>
  </si>
  <si>
    <t>GLN</t>
  </si>
  <si>
    <t>GLU</t>
  </si>
  <si>
    <t>ILE</t>
  </si>
  <si>
    <t>LYS</t>
  </si>
  <si>
    <t>TYR</t>
  </si>
  <si>
    <t>MET</t>
  </si>
  <si>
    <t>HISH</t>
  </si>
  <si>
    <t>CYS</t>
  </si>
  <si>
    <t>CYM</t>
  </si>
  <si>
    <t>HEM</t>
  </si>
  <si>
    <t>HISD</t>
  </si>
  <si>
    <t>HISE</t>
  </si>
  <si>
    <t>MG</t>
  </si>
  <si>
    <t>TRP</t>
  </si>
  <si>
    <t>SASA Results</t>
  </si>
  <si>
    <t>Low energy positions are in the active pocket</t>
  </si>
  <si>
    <t xml:space="preserve">The 30 positions with the lowest interaction energies, images and details can be fount in 00_SASA </t>
  </si>
  <si>
    <t>H</t>
  </si>
  <si>
    <t>H2O2</t>
  </si>
  <si>
    <t>NO</t>
  </si>
  <si>
    <t>O</t>
  </si>
  <si>
    <t>O2</t>
  </si>
  <si>
    <t>OH</t>
  </si>
  <si>
    <t>x</t>
  </si>
  <si>
    <t>y</t>
  </si>
  <si>
    <t>z</t>
  </si>
  <si>
    <t>Res</t>
  </si>
  <si>
    <t>E_int / eV</t>
  </si>
  <si>
    <t>[0.5  4.7 -2.8] GLU</t>
  </si>
  <si>
    <t>[-0.6  4.6 -2.2] PHE</t>
  </si>
  <si>
    <t>Input positions for SASA MDs</t>
  </si>
  <si>
    <t>-</t>
  </si>
  <si>
    <t>[-1.  -6.1  4.3] CYM</t>
  </si>
  <si>
    <t>[ 3.3 -0.4  6.1] ILE</t>
  </si>
  <si>
    <t>[-0.6  3.7 -7.3] HEM</t>
  </si>
  <si>
    <t>[ 9.2  6.4 -7.7] LEU</t>
  </si>
  <si>
    <t>[ 7.6  8.4 -7.3] LEU</t>
  </si>
  <si>
    <t>[ 9.4  6.4 -7.8] ASP</t>
  </si>
  <si>
    <t>First EM then short MDs (75 fs) of ten strongest interacting positions from SASA, to check if really a bond forms</t>
  </si>
  <si>
    <t>* Only bonds to the enzyme where counted all bonds to solvent molecules were ignored</t>
  </si>
  <si>
    <t>300 K</t>
  </si>
  <si>
    <t>VACUUM</t>
  </si>
  <si>
    <t>Atom Type</t>
  </si>
  <si>
    <t>GLU, ASN</t>
  </si>
  <si>
    <t>ARG, ASN</t>
  </si>
  <si>
    <t>SOLVENT</t>
  </si>
  <si>
    <t>400 K</t>
  </si>
  <si>
    <t>C, H</t>
  </si>
  <si>
    <t>500 K</t>
  </si>
  <si>
    <t>Atom specific interactions</t>
  </si>
  <si>
    <t>3 runs with different random orientation of 100 plasma species, these are the total interaction numbers, images and details in 02_Conc_MD</t>
  </si>
  <si>
    <t>Atom type</t>
  </si>
  <si>
    <t>Mean</t>
  </si>
  <si>
    <t>C</t>
  </si>
  <si>
    <t>N</t>
  </si>
  <si>
    <t>S</t>
  </si>
  <si>
    <t>Residue specific interactions</t>
  </si>
  <si>
    <t>Total</t>
  </si>
  <si>
    <t>Vacuum</t>
  </si>
  <si>
    <t>Vacuum %</t>
  </si>
  <si>
    <t>Solvent</t>
  </si>
  <si>
    <t>Solvent %</t>
  </si>
  <si>
    <t>Total interactions</t>
  </si>
  <si>
    <t>Tot. no of 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</si>
</sst>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sz val="14.0"/>
      <color theme="1"/>
      <name val="Arial"/>
    </font>
    <font>
      <sz val="9.0"/>
      <color rgb="FF000000"/>
      <name val="&quot;Google Sans Mono&quot;"/>
    </font>
    <font>
      <sz val="10.0"/>
      <color theme="1"/>
      <name val="Arial"/>
      <scheme val="minor"/>
    </font>
    <font>
      <b/>
      <u/>
      <sz val="12.0"/>
      <color rgb="FF0000FF"/>
    </font>
    <font>
      <b/>
      <sz val="12.0"/>
      <color theme="1"/>
      <name val="Arial"/>
      <scheme val="minor"/>
    </font>
    <font>
      <sz val="12.0"/>
      <color rgb="FF198639"/>
      <name val="Monospace"/>
    </font>
    <font>
      <color rgb="FF000000"/>
      <name val="Arial"/>
    </font>
    <font>
      <b/>
      <sz val="20.0"/>
      <color theme="1"/>
      <name val="Arial"/>
      <scheme val="minor"/>
    </font>
    <font>
      <b/>
      <sz val="10.0"/>
      <color theme="1"/>
      <name val="Arial"/>
      <scheme val="minor"/>
    </font>
    <font>
      <sz val="8.0"/>
      <color theme="1"/>
      <name val="&quot;Liberation Sans&quot;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1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center" shrinkToFit="0" vertical="center" wrapText="0"/>
    </xf>
    <xf borderId="0" fillId="2" fontId="6" numFmtId="0" xfId="0" applyAlignment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 vertical="bottom"/>
    </xf>
    <xf borderId="3" fillId="2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2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0" fillId="3" fontId="8" numFmtId="0" xfId="0" applyFill="1" applyFont="1"/>
    <xf borderId="4" fillId="4" fontId="2" numFmtId="0" xfId="0" applyAlignment="1" applyBorder="1" applyFill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8" fillId="4" fontId="2" numFmtId="0" xfId="0" applyAlignment="1" applyBorder="1" applyFont="1">
      <alignment horizontal="center" readingOrder="0"/>
    </xf>
    <xf borderId="7" fillId="4" fontId="2" numFmtId="164" xfId="0" applyAlignment="1" applyBorder="1" applyFont="1" applyNumberForma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2" numFmtId="1" xfId="0" applyAlignment="1" applyFont="1" applyNumberFormat="1">
      <alignment horizontal="center" readingOrder="0"/>
    </xf>
    <xf borderId="8" fillId="4" fontId="2" numFmtId="164" xfId="0" applyAlignment="1" applyBorder="1" applyFont="1" applyNumberFormat="1">
      <alignment horizontal="center" readingOrder="0"/>
    </xf>
    <xf borderId="7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 readingOrder="0"/>
    </xf>
    <xf borderId="8" fillId="0" fontId="2" numFmtId="164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7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8" fillId="0" fontId="5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7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8" fillId="0" fontId="5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/>
    </xf>
    <xf borderId="2" fillId="4" fontId="10" numFmtId="0" xfId="0" applyAlignment="1" applyBorder="1" applyFont="1">
      <alignment horizontal="left" readingOrder="0"/>
    </xf>
    <xf borderId="1" fillId="4" fontId="11" numFmtId="0" xfId="0" applyAlignment="1" applyBorder="1" applyFont="1">
      <alignment horizontal="center"/>
    </xf>
    <xf borderId="3" fillId="4" fontId="11" numFmtId="0" xfId="0" applyAlignment="1" applyBorder="1" applyFont="1">
      <alignment horizontal="center"/>
    </xf>
    <xf borderId="0" fillId="0" fontId="0" numFmtId="0" xfId="0" applyAlignment="1" applyFont="1">
      <alignment horizontal="center" readingOrder="0"/>
    </xf>
    <xf borderId="0" fillId="3" fontId="12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8" numFmtId="0" xfId="0" applyFont="1"/>
    <xf borderId="4" fillId="4" fontId="2" numFmtId="165" xfId="0" applyAlignment="1" applyBorder="1" applyFont="1" applyNumberFormat="1">
      <alignment horizontal="center" readingOrder="0"/>
    </xf>
    <xf borderId="5" fillId="4" fontId="2" numFmtId="165" xfId="0" applyAlignment="1" applyBorder="1" applyFont="1" applyNumberForma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7" fillId="4" fontId="2" numFmtId="165" xfId="0" applyAlignment="1" applyBorder="1" applyFont="1" applyNumberFormat="1">
      <alignment horizontal="center" readingOrder="0"/>
    </xf>
    <xf borderId="0" fillId="4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7" fillId="0" fontId="2" numFmtId="165" xfId="0" applyAlignment="1" applyBorder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9" fillId="0" fontId="2" numFmtId="165" xfId="0" applyAlignment="1" applyBorder="1" applyFont="1" applyNumberFormat="1">
      <alignment horizontal="center" readingOrder="0"/>
    </xf>
    <xf borderId="10" fillId="0" fontId="2" numFmtId="165" xfId="0" applyAlignment="1" applyBorder="1" applyFont="1" applyNumberFormat="1">
      <alignment horizontal="center" readingOrder="0"/>
    </xf>
    <xf borderId="0" fillId="0" fontId="13" numFmtId="0" xfId="0" applyAlignment="1" applyFont="1">
      <alignment horizontal="left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5" fillId="2" fontId="1" numFmtId="0" xfId="0" applyAlignment="1" applyBorder="1" applyFont="1">
      <alignment horizontal="center"/>
    </xf>
    <xf borderId="4" fillId="2" fontId="7" numFmtId="0" xfId="0" applyAlignment="1" applyBorder="1" applyFont="1">
      <alignment horizontal="center" vertical="bottom"/>
    </xf>
    <xf borderId="5" fillId="2" fontId="5" numFmtId="0" xfId="0" applyAlignment="1" applyBorder="1" applyFont="1">
      <alignment vertical="bottom"/>
    </xf>
    <xf borderId="0" fillId="5" fontId="5" numFmtId="0" xfId="0" applyAlignment="1" applyFill="1" applyFont="1">
      <alignment vertical="bottom"/>
    </xf>
    <xf borderId="2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5" fontId="5" numFmtId="0" xfId="0" applyAlignment="1" applyFont="1">
      <alignment horizontal="right" vertical="bottom"/>
    </xf>
    <xf borderId="4" fillId="0" fontId="5" numFmtId="0" xfId="0" applyAlignment="1" applyBorder="1" applyFont="1">
      <alignment horizontal="center" readingOrder="0" vertical="bottom"/>
    </xf>
    <xf borderId="6" fillId="0" fontId="5" numFmtId="2" xfId="0" applyAlignment="1" applyBorder="1" applyFont="1" applyNumberFormat="1">
      <alignment horizontal="center" readingOrder="0" vertical="bottom"/>
    </xf>
    <xf borderId="7" fillId="0" fontId="5" numFmtId="0" xfId="0" applyAlignment="1" applyBorder="1" applyFont="1">
      <alignment horizontal="center" vertical="bottom"/>
    </xf>
    <xf borderId="8" fillId="0" fontId="5" numFmtId="2" xfId="0" applyAlignment="1" applyBorder="1" applyFont="1" applyNumberFormat="1">
      <alignment horizontal="center" vertical="bottom"/>
    </xf>
    <xf borderId="7" fillId="0" fontId="5" numFmtId="0" xfId="0" applyAlignment="1" applyBorder="1" applyFont="1">
      <alignment horizontal="center" readingOrder="0" vertical="bottom"/>
    </xf>
    <xf borderId="8" fillId="0" fontId="5" numFmtId="2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12" fillId="0" fontId="4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readingOrder="0"/>
    </xf>
    <xf borderId="5" fillId="2" fontId="6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/>
    </xf>
    <xf borderId="13" fillId="0" fontId="4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horizontal="right" readingOrder="0"/>
    </xf>
    <xf borderId="6" fillId="0" fontId="2" numFmtId="2" xfId="0" applyAlignment="1" applyBorder="1" applyFont="1" applyNumberFormat="1">
      <alignment horizontal="right"/>
    </xf>
    <xf borderId="0" fillId="0" fontId="2" numFmtId="2" xfId="0" applyFont="1" applyNumberFormat="1"/>
    <xf borderId="7" fillId="0" fontId="2" numFmtId="0" xfId="0" applyAlignment="1" applyBorder="1" applyFont="1">
      <alignment readingOrder="0"/>
    </xf>
    <xf borderId="8" fillId="0" fontId="2" numFmtId="2" xfId="0" applyBorder="1" applyFont="1" applyNumberFormat="1"/>
    <xf borderId="7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8" fillId="0" fontId="2" numFmtId="2" xfId="0" applyAlignment="1" applyBorder="1" applyFont="1" applyNumberFormat="1">
      <alignment horizontal="right"/>
    </xf>
    <xf borderId="7" fillId="0" fontId="2" numFmtId="0" xfId="0" applyBorder="1" applyFont="1"/>
    <xf borderId="8" fillId="0" fontId="2" numFmtId="0" xfId="0" applyBorder="1" applyFont="1"/>
    <xf borderId="15" fillId="0" fontId="4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right" readingOrder="0"/>
    </xf>
    <xf borderId="10" fillId="0" fontId="2" numFmtId="0" xfId="0" applyAlignment="1" applyBorder="1" applyFont="1">
      <alignment horizontal="right" readingOrder="0"/>
    </xf>
    <xf borderId="11" fillId="0" fontId="2" numFmtId="2" xfId="0" applyAlignment="1" applyBorder="1" applyFont="1" applyNumberFormat="1">
      <alignment horizontal="right"/>
    </xf>
    <xf borderId="10" fillId="0" fontId="2" numFmtId="0" xfId="0" applyAlignment="1" applyBorder="1" applyFont="1">
      <alignment readingOrder="0"/>
    </xf>
    <xf borderId="10" fillId="0" fontId="2" numFmtId="2" xfId="0" applyBorder="1" applyFont="1" applyNumberForma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1" fillId="0" fontId="2" numFmtId="2" xfId="0" applyBorder="1" applyFont="1" applyNumberFormat="1"/>
    <xf borderId="9" fillId="0" fontId="2" numFmtId="0" xfId="0" applyAlignment="1" applyBorder="1" applyFont="1">
      <alignment readingOrder="0"/>
    </xf>
    <xf borderId="5" fillId="2" fontId="15" numFmtId="0" xfId="0" applyAlignment="1" applyBorder="1" applyFont="1">
      <alignment horizontal="center" readingOrder="0" vertical="center"/>
    </xf>
    <xf borderId="0" fillId="5" fontId="2" numFmtId="0" xfId="0" applyFont="1"/>
    <xf borderId="4" fillId="0" fontId="2" numFmtId="0" xfId="0" applyAlignment="1" applyBorder="1" applyFont="1">
      <alignment horizontal="center" readingOrder="0"/>
    </xf>
    <xf borderId="6" fillId="0" fontId="2" numFmtId="2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0" fontId="2" numFmtId="1" xfId="0" applyAlignment="1" applyFont="1" applyNumberFormat="1">
      <alignment horizontal="center"/>
    </xf>
    <xf borderId="0" fillId="0" fontId="2" numFmtId="10" xfId="0" applyAlignment="1" applyFont="1" applyNumberFormat="1">
      <alignment horizontal="center" readingOrder="0"/>
    </xf>
    <xf borderId="0" fillId="3" fontId="0" numFmtId="1" xfId="0" applyFont="1" applyNumberFormat="1"/>
    <xf borderId="0" fillId="0" fontId="2" numFmtId="10" xfId="0" applyFont="1" applyNumberFormat="1"/>
    <xf borderId="8" fillId="0" fontId="2" numFmtId="2" xfId="0" applyAlignment="1" applyBorder="1" applyFont="1" applyNumberFormat="1">
      <alignment horizontal="center" readingOrder="0"/>
    </xf>
    <xf borderId="0" fillId="0" fontId="2" numFmtId="2" xfId="0" applyAlignment="1" applyFont="1" applyNumberFormat="1">
      <alignment readingOrder="0"/>
    </xf>
    <xf borderId="0" fillId="0" fontId="2" numFmtId="1" xfId="0" applyFont="1" applyNumberFormat="1"/>
    <xf borderId="11" fillId="0" fontId="2" numFmtId="2" xfId="0" applyAlignment="1" applyBorder="1" applyFont="1" applyNumberFormat="1">
      <alignment horizontal="center" readingOrder="0"/>
    </xf>
    <xf borderId="7" fillId="0" fontId="2" numFmtId="2" xfId="0" applyAlignment="1" applyBorder="1" applyFont="1" applyNumberFormat="1">
      <alignment horizontal="center" readingOrder="0"/>
    </xf>
    <xf borderId="0" fillId="0" fontId="2" numFmtId="1" xfId="0" applyAlignment="1" applyFont="1" applyNumberFormat="1">
      <alignment readingOrder="0"/>
    </xf>
    <xf borderId="5" fillId="0" fontId="2" numFmtId="0" xfId="0" applyAlignment="1" applyBorder="1" applyFont="1">
      <alignment horizontal="center" readingOrder="0"/>
    </xf>
    <xf borderId="5" fillId="0" fontId="2" numFmtId="2" xfId="0" applyAlignment="1" applyBorder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  <xf borderId="8" fillId="0" fontId="2" numFmtId="2" xfId="0" applyAlignment="1" applyBorder="1" applyFont="1" applyNumberFormat="1">
      <alignment horizontal="center"/>
    </xf>
    <xf borderId="10" fillId="0" fontId="2" numFmtId="2" xfId="0" applyAlignment="1" applyBorder="1" applyFont="1" applyNumberFormat="1">
      <alignment horizontal="center"/>
    </xf>
    <xf borderId="0" fillId="0" fontId="16" numFmtId="0" xfId="0" applyAlignment="1" applyFont="1">
      <alignment horizontal="right" readingOrder="0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2" numFmtId="0" xfId="0" applyFont="1"/>
    <xf borderId="4" fillId="2" fontId="15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/>
    </xf>
    <xf borderId="7" fillId="5" fontId="2" numFmtId="0" xfId="0" applyBorder="1" applyFont="1"/>
    <xf borderId="4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4" fillId="0" fontId="2" numFmtId="2" xfId="0" applyAlignment="1" applyBorder="1" applyFont="1" applyNumberFormat="1">
      <alignment horizontal="center"/>
    </xf>
    <xf borderId="5" fillId="0" fontId="2" numFmtId="2" xfId="0" applyAlignment="1" applyBorder="1" applyFont="1" applyNumberFormat="1">
      <alignment horizontal="center"/>
    </xf>
    <xf borderId="7" fillId="0" fontId="2" numFmtId="2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7" fillId="2" fontId="6" numFmtId="0" xfId="0" applyAlignment="1" applyBorder="1" applyFont="1">
      <alignment horizontal="center" readingOrder="0"/>
    </xf>
    <xf borderId="8" fillId="2" fontId="6" numFmtId="0" xfId="0" applyAlignment="1" applyBorder="1" applyFont="1">
      <alignment horizontal="center" readingOrder="0"/>
    </xf>
    <xf borderId="0" fillId="3" fontId="0" numFmtId="1" xfId="0" applyAlignment="1" applyFont="1" applyNumberFormat="1">
      <alignment readingOrder="0"/>
    </xf>
    <xf borderId="9" fillId="5" fontId="2" numFmtId="0" xfId="0" applyBorder="1" applyFont="1"/>
    <xf borderId="9" fillId="0" fontId="2" numFmtId="2" xfId="0" applyAlignment="1" applyBorder="1" applyFont="1" applyNumberFormat="1">
      <alignment horizontal="center"/>
    </xf>
    <xf borderId="10" fillId="0" fontId="2" numFmtId="2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12" fillId="2" fontId="15" numFmtId="0" xfId="0" applyAlignment="1" applyBorder="1" applyFont="1">
      <alignment horizontal="center" readingOrder="0" vertical="center"/>
    </xf>
    <xf borderId="12" fillId="2" fontId="6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left" readingOrder="0"/>
    </xf>
    <xf borderId="12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2" fillId="0" fontId="2" numFmtId="2" xfId="0" applyAlignment="1" applyBorder="1" applyFont="1" applyNumberFormat="1">
      <alignment horizontal="center"/>
    </xf>
    <xf borderId="14" fillId="0" fontId="2" numFmtId="2" xfId="0" applyAlignment="1" applyBorder="1" applyFont="1" applyNumberFormat="1">
      <alignment horizontal="center"/>
    </xf>
    <xf borderId="14" fillId="0" fontId="2" numFmtId="2" xfId="0" applyAlignment="1" applyBorder="1" applyFont="1" applyNumberFormat="1">
      <alignment horizontal="center" readingOrder="0"/>
    </xf>
    <xf borderId="15" fillId="0" fontId="2" numFmtId="2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Conc_MD_300K!$R$24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Conc_MD_300K!$P$25:$P$49</c:f>
            </c:strRef>
          </c:cat>
          <c:val>
            <c:numRef>
              <c:f>Conc_MD_300K!$R$25:$R$49</c:f>
              <c:numCache/>
            </c:numRef>
          </c:val>
        </c:ser>
        <c:ser>
          <c:idx val="1"/>
          <c:order val="1"/>
          <c:tx>
            <c:strRef>
              <c:f>Conc_MD_300K!$T$24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Conc_MD_300K!$P$25:$P$49</c:f>
            </c:strRef>
          </c:cat>
          <c:val>
            <c:numRef>
              <c:f>Conc_MD_300K!$T$25:$T$49</c:f>
              <c:numCache/>
            </c:numRef>
          </c:val>
        </c:ser>
        <c:axId val="1327408341"/>
        <c:axId val="364410612"/>
      </c:barChart>
      <c:catAx>
        <c:axId val="1327408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410612"/>
      </c:catAx>
      <c:valAx>
        <c:axId val="364410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total number /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7408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Conc_MD_300K!$Q$24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Conc_MD_300K!$P$25:$P$49</c:f>
            </c:strRef>
          </c:cat>
          <c:val>
            <c:numRef>
              <c:f>Conc_MD_300K!$Q$25:$Q$49</c:f>
              <c:numCache/>
            </c:numRef>
          </c:val>
        </c:ser>
        <c:ser>
          <c:idx val="1"/>
          <c:order val="1"/>
          <c:tx>
            <c:strRef>
              <c:f>Conc_MD_300K!$S$24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Conc_MD_300K!$P$25:$P$49</c:f>
            </c:strRef>
          </c:cat>
          <c:val>
            <c:numRef>
              <c:f>Conc_MD_300K!$S$25:$S$49</c:f>
              <c:numCache/>
            </c:numRef>
          </c:val>
        </c:ser>
        <c:axId val="315386722"/>
        <c:axId val="701786903"/>
      </c:barChart>
      <c:catAx>
        <c:axId val="31538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786903"/>
      </c:catAx>
      <c:valAx>
        <c:axId val="701786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total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386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Conc_MD_400K!$R$24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Conc_MD_400K!$P$25:$P$49</c:f>
            </c:strRef>
          </c:cat>
          <c:val>
            <c:numRef>
              <c:f>Conc_MD_400K!$R$25:$R$49</c:f>
              <c:numCache/>
            </c:numRef>
          </c:val>
        </c:ser>
        <c:ser>
          <c:idx val="1"/>
          <c:order val="1"/>
          <c:tx>
            <c:strRef>
              <c:f>Conc_MD_400K!$T$24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Conc_MD_400K!$P$25:$P$49</c:f>
            </c:strRef>
          </c:cat>
          <c:val>
            <c:numRef>
              <c:f>Conc_MD_400K!$T$25:$T$49</c:f>
              <c:numCache/>
            </c:numRef>
          </c:val>
        </c:ser>
        <c:axId val="904378444"/>
        <c:axId val="1997064280"/>
      </c:barChart>
      <c:catAx>
        <c:axId val="904378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064280"/>
      </c:catAx>
      <c:valAx>
        <c:axId val="1997064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total number /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3784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Conc_MD_400K!$Q$24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Conc_MD_400K!$P$25:$P$49</c:f>
            </c:strRef>
          </c:cat>
          <c:val>
            <c:numRef>
              <c:f>Conc_MD_400K!$Q$25:$Q$49</c:f>
              <c:numCache/>
            </c:numRef>
          </c:val>
        </c:ser>
        <c:ser>
          <c:idx val="1"/>
          <c:order val="1"/>
          <c:tx>
            <c:strRef>
              <c:f>Conc_MD_400K!$S$24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Conc_MD_400K!$P$25:$P$49</c:f>
            </c:strRef>
          </c:cat>
          <c:val>
            <c:numRef>
              <c:f>Conc_MD_400K!$S$25:$S$49</c:f>
              <c:numCache/>
            </c:numRef>
          </c:val>
        </c:ser>
        <c:axId val="262119897"/>
        <c:axId val="483969515"/>
      </c:barChart>
      <c:catAx>
        <c:axId val="262119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969515"/>
      </c:catAx>
      <c:valAx>
        <c:axId val="483969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total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1198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Conc_MD_500K!$M$24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Conc_MD_500K!$K$25:$K$49</c:f>
            </c:strRef>
          </c:cat>
          <c:val>
            <c:numRef>
              <c:f>Conc_MD_500K!$M$25:$M$49</c:f>
              <c:numCache/>
            </c:numRef>
          </c:val>
        </c:ser>
        <c:ser>
          <c:idx val="1"/>
          <c:order val="1"/>
          <c:tx>
            <c:strRef>
              <c:f>Conc_MD_500K!$O$24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Conc_MD_500K!$K$25:$K$49</c:f>
            </c:strRef>
          </c:cat>
          <c:val>
            <c:numRef>
              <c:f>Conc_MD_500K!$O$25:$O$49</c:f>
              <c:numCache/>
            </c:numRef>
          </c:val>
        </c:ser>
        <c:axId val="439650209"/>
        <c:axId val="862115767"/>
      </c:barChart>
      <c:catAx>
        <c:axId val="439650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115767"/>
      </c:catAx>
      <c:valAx>
        <c:axId val="862115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total number /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650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Conc_MD_500K!$L$24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Conc_MD_500K!$K$25:$K$49</c:f>
            </c:strRef>
          </c:cat>
          <c:val>
            <c:numRef>
              <c:f>Conc_MD_500K!$L$25:$L$49</c:f>
              <c:numCache/>
            </c:numRef>
          </c:val>
        </c:ser>
        <c:ser>
          <c:idx val="1"/>
          <c:order val="1"/>
          <c:tx>
            <c:strRef>
              <c:f>Conc_MD_500K!$N$24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Conc_MD_500K!$K$25:$K$49</c:f>
            </c:strRef>
          </c:cat>
          <c:val>
            <c:numRef>
              <c:f>Conc_MD_500K!$N$25:$N$49</c:f>
              <c:numCache/>
            </c:numRef>
          </c:val>
        </c:ser>
        <c:axId val="612697529"/>
        <c:axId val="1616901561"/>
      </c:barChart>
      <c:catAx>
        <c:axId val="612697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901561"/>
      </c:catAx>
      <c:valAx>
        <c:axId val="1616901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total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697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50</xdr:row>
      <xdr:rowOff>19050</xdr:rowOff>
    </xdr:from>
    <xdr:ext cx="5314950" cy="33051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304800</xdr:colOff>
      <xdr:row>49</xdr:row>
      <xdr:rowOff>152400</xdr:rowOff>
    </xdr:from>
    <xdr:ext cx="5448300" cy="33718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50</xdr:row>
      <xdr:rowOff>19050</xdr:rowOff>
    </xdr:from>
    <xdr:ext cx="5314950" cy="33051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304800</xdr:colOff>
      <xdr:row>49</xdr:row>
      <xdr:rowOff>152400</xdr:rowOff>
    </xdr:from>
    <xdr:ext cx="5448300" cy="3371850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51</xdr:row>
      <xdr:rowOff>0</xdr:rowOff>
    </xdr:from>
    <xdr:ext cx="5400675" cy="3371850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904875</xdr:colOff>
      <xdr:row>51</xdr:row>
      <xdr:rowOff>0</xdr:rowOff>
    </xdr:from>
    <xdr:ext cx="5448300" cy="3371850"/>
    <xdr:graphicFrame>
      <xdr:nvGraphicFramePr>
        <xdr:cNvPr id="6" name="Chart 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31.0</v>
      </c>
    </row>
    <row r="3">
      <c r="A3" s="2" t="s">
        <v>3</v>
      </c>
      <c r="B3" s="2">
        <v>28.0</v>
      </c>
    </row>
    <row r="4">
      <c r="A4" s="2" t="s">
        <v>4</v>
      </c>
      <c r="B4" s="2">
        <v>27.0</v>
      </c>
    </row>
    <row r="5">
      <c r="A5" s="2" t="s">
        <v>5</v>
      </c>
      <c r="B5" s="2">
        <v>25.0</v>
      </c>
    </row>
    <row r="6">
      <c r="A6" s="2" t="s">
        <v>6</v>
      </c>
      <c r="B6" s="2">
        <v>25.0</v>
      </c>
    </row>
    <row r="7">
      <c r="A7" s="2" t="s">
        <v>7</v>
      </c>
      <c r="B7" s="2">
        <v>24.0</v>
      </c>
    </row>
    <row r="8">
      <c r="A8" s="2" t="s">
        <v>8</v>
      </c>
      <c r="B8" s="2">
        <v>22.0</v>
      </c>
    </row>
    <row r="9">
      <c r="A9" s="2" t="s">
        <v>9</v>
      </c>
      <c r="B9" s="2">
        <v>22.0</v>
      </c>
    </row>
    <row r="10">
      <c r="A10" s="2" t="s">
        <v>10</v>
      </c>
      <c r="B10" s="2">
        <v>20.0</v>
      </c>
    </row>
    <row r="11">
      <c r="A11" s="2" t="s">
        <v>11</v>
      </c>
      <c r="B11" s="2">
        <v>19.0</v>
      </c>
    </row>
    <row r="12">
      <c r="A12" s="2" t="s">
        <v>12</v>
      </c>
      <c r="B12" s="2">
        <v>18.0</v>
      </c>
    </row>
    <row r="13">
      <c r="A13" s="2" t="s">
        <v>13</v>
      </c>
      <c r="B13" s="2">
        <v>13.0</v>
      </c>
    </row>
    <row r="14">
      <c r="A14" s="2" t="s">
        <v>14</v>
      </c>
      <c r="B14" s="2">
        <v>11.0</v>
      </c>
    </row>
    <row r="15">
      <c r="A15" s="2" t="s">
        <v>15</v>
      </c>
      <c r="B15" s="2">
        <v>10.0</v>
      </c>
    </row>
    <row r="16">
      <c r="A16" s="2" t="s">
        <v>16</v>
      </c>
      <c r="B16" s="2">
        <v>9.0</v>
      </c>
    </row>
    <row r="17">
      <c r="A17" s="2" t="s">
        <v>17</v>
      </c>
      <c r="B17" s="2">
        <v>9.0</v>
      </c>
    </row>
    <row r="18">
      <c r="A18" s="2" t="s">
        <v>18</v>
      </c>
      <c r="B18" s="2">
        <v>5.0</v>
      </c>
    </row>
    <row r="19">
      <c r="A19" s="2" t="s">
        <v>19</v>
      </c>
      <c r="B19" s="2">
        <v>4.0</v>
      </c>
    </row>
    <row r="20">
      <c r="A20" s="2" t="s">
        <v>20</v>
      </c>
      <c r="B20" s="2">
        <v>2.0</v>
      </c>
    </row>
    <row r="21">
      <c r="A21" s="2" t="s">
        <v>21</v>
      </c>
      <c r="B21" s="2">
        <v>1.0</v>
      </c>
    </row>
    <row r="22">
      <c r="A22" s="2" t="s">
        <v>22</v>
      </c>
      <c r="B22" s="2">
        <v>1.0</v>
      </c>
    </row>
    <row r="23">
      <c r="A23" s="2" t="s">
        <v>23</v>
      </c>
      <c r="B23" s="2">
        <v>1.0</v>
      </c>
    </row>
    <row r="24">
      <c r="A24" s="2" t="s">
        <v>24</v>
      </c>
      <c r="B24" s="2">
        <v>1.0</v>
      </c>
    </row>
    <row r="25">
      <c r="A25" s="2" t="s">
        <v>25</v>
      </c>
      <c r="B25" s="2">
        <v>1.0</v>
      </c>
    </row>
    <row r="26">
      <c r="A26" s="2" t="s">
        <v>26</v>
      </c>
      <c r="B26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25"/>
    <col customWidth="1" min="3" max="3" width="13.38"/>
    <col customWidth="1" min="4" max="4" width="10.5"/>
    <col customWidth="1" min="5" max="5" width="13.0"/>
    <col customWidth="1" min="6" max="6" width="10.38"/>
    <col customWidth="1" min="7" max="7" width="11.38"/>
    <col customWidth="1" min="8" max="8" width="10.25"/>
    <col customWidth="1" min="9" max="9" width="16.63"/>
    <col customWidth="1" min="10" max="10" width="15.5"/>
    <col customWidth="1" min="11" max="11" width="12.0"/>
    <col customWidth="1" min="12" max="12" width="10.5"/>
    <col customWidth="1" min="13" max="13" width="8.25"/>
    <col customWidth="1" min="14" max="14" width="13.0"/>
    <col customWidth="1" min="15" max="15" width="14.0"/>
    <col customWidth="1" min="16" max="16" width="15.38"/>
    <col customWidth="1" min="17" max="17" width="11.13"/>
    <col customWidth="1" min="18" max="18" width="17.5"/>
    <col customWidth="1" min="19" max="19" width="19.25"/>
    <col customWidth="1" min="20" max="21" width="18.0"/>
    <col customWidth="1" min="22" max="22" width="18.88"/>
    <col customWidth="1" min="23" max="23" width="16.63"/>
    <col customWidth="1" min="25" max="25" width="14.5"/>
  </cols>
  <sheetData>
    <row r="1">
      <c r="A1" s="3" t="s">
        <v>27</v>
      </c>
      <c r="Q1" s="3" t="s">
        <v>28</v>
      </c>
      <c r="R1" s="4"/>
      <c r="S1" s="4"/>
      <c r="W1" s="5"/>
      <c r="X1" s="6"/>
      <c r="Z1" s="7"/>
      <c r="AB1" s="8"/>
    </row>
    <row r="2">
      <c r="A2" s="2" t="s">
        <v>29</v>
      </c>
    </row>
    <row r="3">
      <c r="A3" s="9" t="s">
        <v>30</v>
      </c>
      <c r="B3" s="9"/>
      <c r="C3" s="9"/>
      <c r="D3" s="10"/>
      <c r="E3" s="10"/>
      <c r="F3" s="11" t="s">
        <v>31</v>
      </c>
      <c r="G3" s="11"/>
      <c r="H3" s="11"/>
      <c r="I3" s="10"/>
      <c r="J3" s="10"/>
      <c r="K3" s="11" t="s">
        <v>32</v>
      </c>
      <c r="L3" s="11"/>
      <c r="M3" s="11"/>
      <c r="N3" s="10"/>
      <c r="O3" s="10"/>
      <c r="R3" s="12" t="s">
        <v>30</v>
      </c>
      <c r="S3" s="11" t="s">
        <v>31</v>
      </c>
      <c r="T3" s="11" t="s">
        <v>32</v>
      </c>
      <c r="U3" s="11" t="s">
        <v>33</v>
      </c>
      <c r="V3" s="13" t="s">
        <v>34</v>
      </c>
      <c r="W3" s="14" t="s">
        <v>35</v>
      </c>
      <c r="X3" s="15"/>
      <c r="Y3" s="15"/>
    </row>
    <row r="4">
      <c r="A4" s="16" t="s">
        <v>36</v>
      </c>
      <c r="B4" s="17" t="s">
        <v>37</v>
      </c>
      <c r="C4" s="17" t="s">
        <v>38</v>
      </c>
      <c r="D4" s="17" t="s">
        <v>39</v>
      </c>
      <c r="E4" s="18" t="s">
        <v>40</v>
      </c>
      <c r="F4" s="16" t="s">
        <v>36</v>
      </c>
      <c r="G4" s="17" t="s">
        <v>37</v>
      </c>
      <c r="H4" s="17" t="s">
        <v>38</v>
      </c>
      <c r="I4" s="17" t="s">
        <v>39</v>
      </c>
      <c r="J4" s="18" t="s">
        <v>40</v>
      </c>
      <c r="K4" s="16" t="s">
        <v>36</v>
      </c>
      <c r="L4" s="17" t="s">
        <v>37</v>
      </c>
      <c r="M4" s="17" t="s">
        <v>38</v>
      </c>
      <c r="N4" s="17" t="s">
        <v>39</v>
      </c>
      <c r="O4" s="18" t="s">
        <v>40</v>
      </c>
      <c r="S4" s="2" t="s">
        <v>41</v>
      </c>
      <c r="T4" s="19"/>
      <c r="U4" s="19"/>
      <c r="V4" s="19"/>
      <c r="W4" s="19"/>
      <c r="X4" s="19"/>
      <c r="Y4" s="19"/>
      <c r="AA4" s="20"/>
      <c r="AB4" s="20"/>
      <c r="AC4" s="20"/>
    </row>
    <row r="5">
      <c r="A5" s="21">
        <v>1.941</v>
      </c>
      <c r="B5" s="22">
        <v>-7.982</v>
      </c>
      <c r="C5" s="22">
        <v>-26.657</v>
      </c>
      <c r="D5" s="22" t="s">
        <v>14</v>
      </c>
      <c r="E5" s="23">
        <v>-0.275</v>
      </c>
      <c r="F5" s="21">
        <v>-12.574</v>
      </c>
      <c r="G5" s="22">
        <v>3.447</v>
      </c>
      <c r="H5" s="22">
        <v>25.027</v>
      </c>
      <c r="I5" s="22" t="s">
        <v>11</v>
      </c>
      <c r="J5" s="23">
        <v>-1.153</v>
      </c>
      <c r="K5" s="21">
        <v>18.037</v>
      </c>
      <c r="L5" s="22">
        <v>-0.796</v>
      </c>
      <c r="M5" s="22">
        <v>9.227</v>
      </c>
      <c r="N5" s="22" t="s">
        <v>14</v>
      </c>
      <c r="O5" s="23">
        <v>-1.509</v>
      </c>
      <c r="S5" s="2" t="s">
        <v>42</v>
      </c>
      <c r="T5" s="19"/>
      <c r="U5" s="19"/>
      <c r="V5" s="19"/>
      <c r="W5" s="19"/>
      <c r="X5" s="19"/>
      <c r="Y5" s="19"/>
      <c r="AA5" s="20"/>
      <c r="AE5" s="20"/>
    </row>
    <row r="6">
      <c r="A6" s="24">
        <v>1.026</v>
      </c>
      <c r="B6" s="25">
        <v>-7.549</v>
      </c>
      <c r="C6" s="25">
        <v>-26.845</v>
      </c>
      <c r="D6" s="25" t="s">
        <v>14</v>
      </c>
      <c r="E6" s="26">
        <v>-0.247</v>
      </c>
      <c r="F6" s="24">
        <v>-5.24</v>
      </c>
      <c r="G6" s="25">
        <v>-10.856</v>
      </c>
      <c r="H6" s="25">
        <v>-4.265</v>
      </c>
      <c r="I6" s="25" t="s">
        <v>11</v>
      </c>
      <c r="J6" s="26">
        <v>-1.125</v>
      </c>
      <c r="K6" s="24">
        <v>23.279</v>
      </c>
      <c r="L6" s="25">
        <v>-9.416</v>
      </c>
      <c r="M6" s="25">
        <v>-6.428</v>
      </c>
      <c r="N6" s="25" t="s">
        <v>6</v>
      </c>
      <c r="O6" s="26">
        <v>-1.431</v>
      </c>
      <c r="T6" s="19"/>
      <c r="U6" s="19"/>
      <c r="V6" s="19"/>
      <c r="W6" s="19"/>
      <c r="X6" s="19"/>
      <c r="Y6" s="19"/>
      <c r="AA6" s="20"/>
      <c r="AB6" s="20"/>
      <c r="AC6" s="20"/>
    </row>
    <row r="7">
      <c r="A7" s="24">
        <v>-2.554</v>
      </c>
      <c r="B7" s="25">
        <v>-5.693</v>
      </c>
      <c r="C7" s="25">
        <v>19.374</v>
      </c>
      <c r="D7" s="25" t="s">
        <v>8</v>
      </c>
      <c r="E7" s="26">
        <v>-0.223</v>
      </c>
      <c r="F7" s="24">
        <v>-9.043</v>
      </c>
      <c r="G7" s="25">
        <v>6.682</v>
      </c>
      <c r="H7" s="25">
        <v>-8.166</v>
      </c>
      <c r="I7" s="25" t="s">
        <v>8</v>
      </c>
      <c r="J7" s="26">
        <v>-1.125</v>
      </c>
      <c r="K7" s="24">
        <v>25.068</v>
      </c>
      <c r="L7" s="25">
        <v>-10.428</v>
      </c>
      <c r="M7" s="25">
        <v>-7.224</v>
      </c>
      <c r="N7" s="25" t="s">
        <v>8</v>
      </c>
      <c r="O7" s="26">
        <v>-1.382</v>
      </c>
      <c r="T7" s="19"/>
      <c r="U7" s="19"/>
      <c r="V7" s="19"/>
      <c r="W7" s="19"/>
      <c r="X7" s="19"/>
      <c r="Y7" s="19"/>
      <c r="AA7" s="20"/>
      <c r="AB7" s="20"/>
      <c r="AC7" s="20"/>
    </row>
    <row r="8">
      <c r="A8" s="27">
        <v>4.14</v>
      </c>
      <c r="B8" s="28">
        <v>14.58</v>
      </c>
      <c r="C8" s="28">
        <v>12.59</v>
      </c>
      <c r="D8" s="25" t="s">
        <v>13</v>
      </c>
      <c r="E8" s="26">
        <v>-0.192</v>
      </c>
      <c r="F8" s="24">
        <v>13.895</v>
      </c>
      <c r="G8" s="25">
        <v>8.824</v>
      </c>
      <c r="H8" s="25">
        <v>6.701</v>
      </c>
      <c r="I8" s="25" t="s">
        <v>7</v>
      </c>
      <c r="J8" s="26">
        <v>-1.12</v>
      </c>
      <c r="K8" s="24">
        <v>0.598</v>
      </c>
      <c r="L8" s="25">
        <v>-2.949</v>
      </c>
      <c r="M8" s="25">
        <v>17.293</v>
      </c>
      <c r="N8" s="25" t="s">
        <v>8</v>
      </c>
      <c r="O8" s="26">
        <v>-1.352</v>
      </c>
      <c r="T8" s="19"/>
      <c r="U8" s="19"/>
      <c r="V8" s="19"/>
      <c r="W8" s="19"/>
      <c r="X8" s="19"/>
      <c r="Y8" s="19"/>
      <c r="AA8" s="20"/>
      <c r="AB8" s="20"/>
      <c r="AC8" s="20"/>
    </row>
    <row r="9">
      <c r="A9" s="24">
        <v>-2.328</v>
      </c>
      <c r="B9" s="25">
        <v>-8.81</v>
      </c>
      <c r="C9" s="25">
        <v>18.342</v>
      </c>
      <c r="D9" s="25" t="s">
        <v>9</v>
      </c>
      <c r="E9" s="26">
        <v>-0.189</v>
      </c>
      <c r="F9" s="24">
        <v>-12.461</v>
      </c>
      <c r="G9" s="25">
        <v>3.516</v>
      </c>
      <c r="H9" s="25">
        <v>25.167</v>
      </c>
      <c r="I9" s="25" t="s">
        <v>7</v>
      </c>
      <c r="J9" s="26">
        <v>-1.119</v>
      </c>
      <c r="K9" s="24">
        <v>-6.004</v>
      </c>
      <c r="L9" s="25">
        <v>22.379</v>
      </c>
      <c r="M9" s="25">
        <v>11.952</v>
      </c>
      <c r="N9" s="25" t="s">
        <v>9</v>
      </c>
      <c r="O9" s="26">
        <v>-1.349</v>
      </c>
      <c r="T9" s="19"/>
      <c r="U9" s="19"/>
      <c r="V9" s="19"/>
      <c r="W9" s="19"/>
      <c r="X9" s="19"/>
      <c r="Y9" s="19"/>
      <c r="AA9" s="20"/>
      <c r="AB9" s="20"/>
      <c r="AC9" s="20"/>
    </row>
    <row r="10">
      <c r="A10" s="24">
        <v>3.225</v>
      </c>
      <c r="B10" s="25">
        <v>15.249</v>
      </c>
      <c r="C10" s="25">
        <v>12.77</v>
      </c>
      <c r="D10" s="25" t="s">
        <v>10</v>
      </c>
      <c r="E10" s="26">
        <v>-0.183</v>
      </c>
      <c r="F10" s="24">
        <v>-8.281</v>
      </c>
      <c r="G10" s="25">
        <v>-9.157</v>
      </c>
      <c r="H10" s="25">
        <v>5.479</v>
      </c>
      <c r="I10" s="25" t="s">
        <v>9</v>
      </c>
      <c r="J10" s="26">
        <v>-1.106</v>
      </c>
      <c r="K10" s="24">
        <v>-1.7</v>
      </c>
      <c r="L10" s="25">
        <v>-7.939</v>
      </c>
      <c r="M10" s="25">
        <v>-23.791</v>
      </c>
      <c r="N10" s="25" t="s">
        <v>9</v>
      </c>
      <c r="O10" s="26">
        <v>-1.347</v>
      </c>
      <c r="T10" s="19"/>
      <c r="U10" s="19"/>
      <c r="V10" s="19"/>
      <c r="W10" s="19"/>
      <c r="X10" s="19"/>
      <c r="Y10" s="19"/>
      <c r="AA10" s="20"/>
      <c r="AB10" s="20"/>
      <c r="AC10" s="20"/>
    </row>
    <row r="11">
      <c r="A11" s="24">
        <v>-11.902</v>
      </c>
      <c r="B11" s="25">
        <v>21.905</v>
      </c>
      <c r="C11" s="25">
        <v>-3.468</v>
      </c>
      <c r="D11" s="25" t="s">
        <v>12</v>
      </c>
      <c r="E11" s="26">
        <v>-0.182</v>
      </c>
      <c r="F11" s="24">
        <v>14.413</v>
      </c>
      <c r="G11" s="25">
        <v>5.991</v>
      </c>
      <c r="H11" s="25">
        <v>5.401</v>
      </c>
      <c r="I11" s="25" t="s">
        <v>13</v>
      </c>
      <c r="J11" s="26">
        <v>-1.104</v>
      </c>
      <c r="K11" s="24">
        <v>3.724</v>
      </c>
      <c r="L11" s="25">
        <v>18.929</v>
      </c>
      <c r="M11" s="25">
        <v>-20.564</v>
      </c>
      <c r="N11" s="25" t="s">
        <v>14</v>
      </c>
      <c r="O11" s="26">
        <v>-1.309</v>
      </c>
      <c r="T11" s="19"/>
      <c r="U11" s="19"/>
      <c r="V11" s="19"/>
      <c r="W11" s="19"/>
      <c r="X11" s="19"/>
      <c r="Y11" s="19"/>
      <c r="AA11" s="20"/>
      <c r="AB11" s="20"/>
      <c r="AC11" s="20"/>
    </row>
    <row r="12">
      <c r="A12" s="27">
        <v>14.725</v>
      </c>
      <c r="B12" s="28">
        <v>-5.608</v>
      </c>
      <c r="C12" s="28">
        <v>8.976</v>
      </c>
      <c r="D12" s="29" t="s">
        <v>7</v>
      </c>
      <c r="E12" s="30">
        <v>-0.18</v>
      </c>
      <c r="F12" s="24">
        <v>-13.716</v>
      </c>
      <c r="G12" s="25">
        <v>-1.407</v>
      </c>
      <c r="H12" s="25">
        <v>6.201</v>
      </c>
      <c r="I12" s="25" t="s">
        <v>12</v>
      </c>
      <c r="J12" s="26">
        <v>-1.075</v>
      </c>
      <c r="K12" s="24">
        <v>27.265</v>
      </c>
      <c r="L12" s="25">
        <v>-13.265</v>
      </c>
      <c r="M12" s="25">
        <v>-3.486</v>
      </c>
      <c r="N12" s="25" t="s">
        <v>14</v>
      </c>
      <c r="O12" s="26">
        <v>-1.285</v>
      </c>
      <c r="T12" s="19"/>
      <c r="U12" s="19"/>
      <c r="V12" s="19"/>
      <c r="W12" s="19"/>
      <c r="X12" s="19"/>
      <c r="Y12" s="19"/>
      <c r="AA12" s="20"/>
      <c r="AB12" s="20"/>
      <c r="AC12" s="20"/>
    </row>
    <row r="13">
      <c r="A13" s="27">
        <v>15.148</v>
      </c>
      <c r="B13" s="28">
        <v>-5.692</v>
      </c>
      <c r="C13" s="28">
        <v>8.788</v>
      </c>
      <c r="D13" s="29" t="s">
        <v>14</v>
      </c>
      <c r="E13" s="30">
        <v>-0.179</v>
      </c>
      <c r="F13" s="24">
        <v>-7.076</v>
      </c>
      <c r="G13" s="25">
        <v>6.975</v>
      </c>
      <c r="H13" s="25">
        <v>-8.468</v>
      </c>
      <c r="I13" s="25" t="s">
        <v>11</v>
      </c>
      <c r="J13" s="26">
        <v>-1.054</v>
      </c>
      <c r="K13" s="24">
        <v>2.987</v>
      </c>
      <c r="L13" s="25">
        <v>19.196</v>
      </c>
      <c r="M13" s="25">
        <v>-20.158</v>
      </c>
      <c r="N13" s="25" t="s">
        <v>5</v>
      </c>
      <c r="O13" s="26">
        <v>-1.264</v>
      </c>
      <c r="T13" s="19"/>
      <c r="U13" s="19"/>
      <c r="V13" s="19"/>
      <c r="W13" s="19"/>
      <c r="X13" s="19"/>
      <c r="Y13" s="19"/>
      <c r="AA13" s="20"/>
      <c r="AB13" s="20"/>
      <c r="AC13" s="20"/>
    </row>
    <row r="14">
      <c r="A14" s="27">
        <v>-0.825</v>
      </c>
      <c r="B14" s="28">
        <v>-6.938</v>
      </c>
      <c r="C14" s="28">
        <v>-25.238</v>
      </c>
      <c r="D14" s="29" t="s">
        <v>9</v>
      </c>
      <c r="E14" s="30">
        <v>-0.176</v>
      </c>
      <c r="F14" s="24">
        <v>-3.073</v>
      </c>
      <c r="G14" s="25">
        <v>14.435</v>
      </c>
      <c r="H14" s="25">
        <v>-15.031</v>
      </c>
      <c r="I14" s="25" t="s">
        <v>15</v>
      </c>
      <c r="J14" s="26">
        <v>-1.051</v>
      </c>
      <c r="K14" s="24">
        <v>-14.692</v>
      </c>
      <c r="L14" s="25">
        <v>-5.343</v>
      </c>
      <c r="M14" s="25">
        <v>-0.582</v>
      </c>
      <c r="N14" s="25" t="s">
        <v>14</v>
      </c>
      <c r="O14" s="26">
        <v>-1.231</v>
      </c>
      <c r="T14" s="19"/>
      <c r="U14" s="19"/>
      <c r="V14" s="19"/>
      <c r="W14" s="19"/>
      <c r="X14" s="19"/>
      <c r="Y14" s="19"/>
      <c r="AA14" s="20"/>
      <c r="AB14" s="20"/>
      <c r="AC14" s="20"/>
    </row>
    <row r="15">
      <c r="A15" s="31">
        <v>-3.759</v>
      </c>
      <c r="B15" s="32">
        <v>-5.449</v>
      </c>
      <c r="C15" s="32">
        <v>19.61</v>
      </c>
      <c r="D15" s="33" t="s">
        <v>15</v>
      </c>
      <c r="E15" s="34">
        <v>-0.175</v>
      </c>
      <c r="F15" s="35">
        <v>-4.186</v>
      </c>
      <c r="G15" s="36">
        <v>22.13</v>
      </c>
      <c r="H15" s="36">
        <v>10.036</v>
      </c>
      <c r="I15" s="36" t="s">
        <v>20</v>
      </c>
      <c r="J15" s="37">
        <v>-1.049</v>
      </c>
      <c r="K15" s="35">
        <v>9.195</v>
      </c>
      <c r="L15" s="36">
        <v>13.937</v>
      </c>
      <c r="M15" s="36">
        <v>2.326</v>
      </c>
      <c r="N15" s="36" t="s">
        <v>12</v>
      </c>
      <c r="O15" s="37">
        <v>-1.143</v>
      </c>
      <c r="P15" s="38"/>
      <c r="T15" s="19"/>
      <c r="U15" s="19"/>
      <c r="V15" s="19"/>
      <c r="W15" s="19"/>
      <c r="X15" s="19"/>
      <c r="Y15" s="19"/>
      <c r="AA15" s="20"/>
      <c r="AB15" s="20"/>
      <c r="AC15" s="20"/>
    </row>
    <row r="16">
      <c r="A16" s="31">
        <v>-11.605</v>
      </c>
      <c r="B16" s="32">
        <v>5.141</v>
      </c>
      <c r="C16" s="32">
        <v>-2.531</v>
      </c>
      <c r="D16" s="33" t="s">
        <v>19</v>
      </c>
      <c r="E16" s="34">
        <v>-0.173</v>
      </c>
      <c r="F16" s="35">
        <v>-6.509</v>
      </c>
      <c r="G16" s="36">
        <v>-10.866</v>
      </c>
      <c r="H16" s="36">
        <v>-5.37</v>
      </c>
      <c r="I16" s="36" t="s">
        <v>7</v>
      </c>
      <c r="J16" s="37">
        <v>-1.044</v>
      </c>
      <c r="K16" s="35">
        <v>-0.44</v>
      </c>
      <c r="L16" s="36">
        <v>-6.578</v>
      </c>
      <c r="M16" s="36">
        <v>-25.23</v>
      </c>
      <c r="N16" s="36" t="s">
        <v>14</v>
      </c>
      <c r="O16" s="37">
        <v>-1.107</v>
      </c>
      <c r="P16" s="39"/>
      <c r="T16" s="19"/>
      <c r="U16" s="19"/>
      <c r="V16" s="19"/>
      <c r="W16" s="19"/>
      <c r="X16" s="19"/>
      <c r="Y16" s="19"/>
      <c r="AA16" s="20"/>
      <c r="AB16" s="20"/>
      <c r="AC16" s="20"/>
    </row>
    <row r="17">
      <c r="A17" s="35">
        <v>-11.606</v>
      </c>
      <c r="B17" s="36">
        <v>5.191</v>
      </c>
      <c r="C17" s="36">
        <v>-2.486</v>
      </c>
      <c r="D17" s="36" t="s">
        <v>9</v>
      </c>
      <c r="E17" s="37">
        <v>-0.17</v>
      </c>
      <c r="F17" s="35">
        <v>2.949</v>
      </c>
      <c r="G17" s="36">
        <v>-9.323</v>
      </c>
      <c r="H17" s="36">
        <v>2.936</v>
      </c>
      <c r="I17" s="36" t="s">
        <v>2</v>
      </c>
      <c r="J17" s="37">
        <v>-1.038</v>
      </c>
      <c r="K17" s="40">
        <v>-3.3</v>
      </c>
      <c r="L17" s="41">
        <v>-13.523</v>
      </c>
      <c r="M17" s="41">
        <v>-12.883</v>
      </c>
      <c r="N17" s="41" t="s">
        <v>8</v>
      </c>
      <c r="O17" s="42">
        <v>-1.103</v>
      </c>
      <c r="P17" s="36"/>
      <c r="T17" s="19"/>
      <c r="U17" s="19"/>
      <c r="V17" s="19"/>
      <c r="W17" s="19"/>
      <c r="X17" s="19"/>
      <c r="Y17" s="19"/>
      <c r="AA17" s="20"/>
      <c r="AB17" s="20"/>
      <c r="AC17" s="20"/>
    </row>
    <row r="18">
      <c r="A18" s="35">
        <v>-11.325</v>
      </c>
      <c r="B18" s="36">
        <v>22.486</v>
      </c>
      <c r="C18" s="36">
        <v>-2.57</v>
      </c>
      <c r="D18" s="36" t="s">
        <v>8</v>
      </c>
      <c r="E18" s="37">
        <v>-0.169</v>
      </c>
      <c r="F18" s="35">
        <v>-4.97</v>
      </c>
      <c r="G18" s="36">
        <v>10.058</v>
      </c>
      <c r="H18" s="36">
        <v>12.844</v>
      </c>
      <c r="I18" s="36" t="s">
        <v>6</v>
      </c>
      <c r="J18" s="37">
        <v>-1.033</v>
      </c>
      <c r="K18" s="43">
        <v>0.486</v>
      </c>
      <c r="L18" s="44">
        <v>5.738</v>
      </c>
      <c r="M18" s="44">
        <v>-27.648</v>
      </c>
      <c r="N18" s="44" t="s">
        <v>11</v>
      </c>
      <c r="O18" s="37">
        <v>-1.064</v>
      </c>
      <c r="P18" s="36"/>
      <c r="T18" s="19"/>
      <c r="U18" s="19"/>
      <c r="V18" s="19"/>
      <c r="W18" s="19"/>
      <c r="X18" s="19"/>
      <c r="Y18" s="19"/>
      <c r="AA18" s="20"/>
      <c r="AB18" s="20"/>
      <c r="AC18" s="20"/>
    </row>
    <row r="19">
      <c r="A19" s="35">
        <v>-8.72</v>
      </c>
      <c r="B19" s="36">
        <v>8.262</v>
      </c>
      <c r="C19" s="36">
        <v>30.656</v>
      </c>
      <c r="D19" s="36" t="s">
        <v>7</v>
      </c>
      <c r="E19" s="37">
        <v>-0.168</v>
      </c>
      <c r="F19" s="35">
        <v>-8.468</v>
      </c>
      <c r="G19" s="36">
        <v>8.109</v>
      </c>
      <c r="H19" s="36">
        <v>-9.415</v>
      </c>
      <c r="I19" s="36" t="s">
        <v>4</v>
      </c>
      <c r="J19" s="37">
        <v>-1.03</v>
      </c>
      <c r="K19" s="35">
        <v>0.396</v>
      </c>
      <c r="L19" s="36">
        <v>5.524</v>
      </c>
      <c r="M19" s="36">
        <v>-27.392</v>
      </c>
      <c r="N19" s="36" t="s">
        <v>17</v>
      </c>
      <c r="O19" s="37">
        <v>-1.06</v>
      </c>
      <c r="P19" s="36"/>
      <c r="T19" s="19"/>
      <c r="U19" s="19"/>
      <c r="V19" s="19"/>
      <c r="W19" s="19"/>
      <c r="X19" s="19"/>
      <c r="Y19" s="19"/>
      <c r="AA19" s="20"/>
      <c r="AB19" s="20"/>
      <c r="AC19" s="20"/>
    </row>
    <row r="20">
      <c r="A20" s="35">
        <v>28.289</v>
      </c>
      <c r="B20" s="36">
        <v>-15.576</v>
      </c>
      <c r="C20" s="36">
        <v>0.079</v>
      </c>
      <c r="D20" s="36" t="s">
        <v>14</v>
      </c>
      <c r="E20" s="37">
        <v>-0.167</v>
      </c>
      <c r="F20" s="35">
        <v>17.268</v>
      </c>
      <c r="G20" s="36">
        <v>2.89</v>
      </c>
      <c r="H20" s="36">
        <v>-13.199</v>
      </c>
      <c r="I20" s="36" t="s">
        <v>8</v>
      </c>
      <c r="J20" s="37">
        <v>-1.03</v>
      </c>
      <c r="K20" s="35">
        <v>-6.673</v>
      </c>
      <c r="L20" s="36">
        <v>9.471</v>
      </c>
      <c r="M20" s="36">
        <v>-24.672</v>
      </c>
      <c r="N20" s="36" t="s">
        <v>8</v>
      </c>
      <c r="O20" s="37">
        <v>-0.99</v>
      </c>
      <c r="P20" s="36"/>
      <c r="T20" s="19"/>
      <c r="U20" s="19"/>
      <c r="V20" s="19"/>
      <c r="W20" s="19"/>
      <c r="X20" s="19"/>
      <c r="Y20" s="19"/>
      <c r="AA20" s="20"/>
      <c r="AB20" s="20"/>
      <c r="AC20" s="20"/>
    </row>
    <row r="21">
      <c r="A21" s="35">
        <v>17.088</v>
      </c>
      <c r="B21" s="36">
        <v>11.595</v>
      </c>
      <c r="C21" s="36">
        <v>-7.179</v>
      </c>
      <c r="D21" s="36" t="s">
        <v>8</v>
      </c>
      <c r="E21" s="37">
        <v>-0.166</v>
      </c>
      <c r="F21" s="35">
        <v>-7.882</v>
      </c>
      <c r="G21" s="36">
        <v>6.88</v>
      </c>
      <c r="H21" s="36">
        <v>-8.1</v>
      </c>
      <c r="I21" s="36" t="s">
        <v>2</v>
      </c>
      <c r="J21" s="37">
        <v>-1.03</v>
      </c>
      <c r="K21" s="35">
        <v>-10.483</v>
      </c>
      <c r="L21" s="36">
        <v>10.179</v>
      </c>
      <c r="M21" s="36">
        <v>1.35</v>
      </c>
      <c r="N21" s="36" t="s">
        <v>4</v>
      </c>
      <c r="O21" s="37">
        <v>-0.988</v>
      </c>
      <c r="P21" s="36"/>
      <c r="T21" s="19"/>
      <c r="U21" s="19"/>
      <c r="V21" s="19"/>
      <c r="W21" s="19"/>
      <c r="X21" s="19"/>
      <c r="Y21" s="19"/>
      <c r="AA21" s="20"/>
      <c r="AB21" s="20"/>
      <c r="AC21" s="20"/>
    </row>
    <row r="22">
      <c r="A22" s="35">
        <v>-11.856</v>
      </c>
      <c r="B22" s="36">
        <v>10.472</v>
      </c>
      <c r="C22" s="36">
        <v>28.104</v>
      </c>
      <c r="D22" s="36" t="s">
        <v>11</v>
      </c>
      <c r="E22" s="37">
        <v>-0.164</v>
      </c>
      <c r="F22" s="35">
        <v>11.861</v>
      </c>
      <c r="G22" s="36">
        <v>13.57</v>
      </c>
      <c r="H22" s="36">
        <v>-1.451</v>
      </c>
      <c r="I22" s="36" t="s">
        <v>12</v>
      </c>
      <c r="J22" s="37">
        <v>-1.019</v>
      </c>
      <c r="K22" s="35">
        <v>-12.455</v>
      </c>
      <c r="L22" s="36">
        <v>3.51</v>
      </c>
      <c r="M22" s="36">
        <v>25.165</v>
      </c>
      <c r="N22" s="36" t="s">
        <v>7</v>
      </c>
      <c r="O22" s="37">
        <v>-0.987</v>
      </c>
      <c r="P22" s="36"/>
      <c r="T22" s="19"/>
      <c r="U22" s="19"/>
      <c r="V22" s="19"/>
      <c r="W22" s="19"/>
      <c r="X22" s="19"/>
      <c r="Y22" s="19"/>
      <c r="AA22" s="20"/>
      <c r="AB22" s="20"/>
      <c r="AC22" s="20"/>
    </row>
    <row r="23">
      <c r="A23" s="35">
        <v>6.097</v>
      </c>
      <c r="B23" s="36">
        <v>24.271</v>
      </c>
      <c r="C23" s="36">
        <v>-3.554</v>
      </c>
      <c r="D23" s="36" t="s">
        <v>14</v>
      </c>
      <c r="E23" s="37">
        <v>-0.163</v>
      </c>
      <c r="F23" s="35">
        <v>0.536</v>
      </c>
      <c r="G23" s="36">
        <v>4.717</v>
      </c>
      <c r="H23" s="36">
        <v>-2.847</v>
      </c>
      <c r="I23" s="36" t="s">
        <v>14</v>
      </c>
      <c r="J23" s="37">
        <v>-1.017</v>
      </c>
      <c r="K23" s="35">
        <v>-15.586</v>
      </c>
      <c r="L23" s="36">
        <v>14.504</v>
      </c>
      <c r="M23" s="36">
        <v>-2.996</v>
      </c>
      <c r="N23" s="36" t="s">
        <v>12</v>
      </c>
      <c r="O23" s="37">
        <v>-0.972</v>
      </c>
      <c r="P23" s="36"/>
      <c r="T23" s="19"/>
      <c r="U23" s="19"/>
      <c r="V23" s="19"/>
      <c r="W23" s="19"/>
      <c r="X23" s="19"/>
      <c r="Y23" s="19"/>
      <c r="AA23" s="20"/>
      <c r="AB23" s="20"/>
      <c r="AC23" s="20"/>
    </row>
    <row r="24">
      <c r="A24" s="35">
        <v>-9.125</v>
      </c>
      <c r="B24" s="36">
        <v>23.798</v>
      </c>
      <c r="C24" s="36">
        <v>-1.842</v>
      </c>
      <c r="D24" s="36" t="s">
        <v>12</v>
      </c>
      <c r="E24" s="37">
        <v>-0.161</v>
      </c>
      <c r="F24" s="35">
        <v>-0.58</v>
      </c>
      <c r="G24" s="36">
        <v>4.614</v>
      </c>
      <c r="H24" s="36">
        <v>-2.229</v>
      </c>
      <c r="I24" s="36" t="s">
        <v>4</v>
      </c>
      <c r="J24" s="37">
        <v>-1.017</v>
      </c>
      <c r="K24" s="35">
        <v>19.884</v>
      </c>
      <c r="L24" s="36">
        <v>2.15</v>
      </c>
      <c r="M24" s="36">
        <v>9.279</v>
      </c>
      <c r="N24" s="36" t="s">
        <v>6</v>
      </c>
      <c r="O24" s="37">
        <v>-0.943</v>
      </c>
      <c r="P24" s="36"/>
      <c r="T24" s="19"/>
      <c r="U24" s="19"/>
      <c r="V24" s="19"/>
      <c r="W24" s="19"/>
      <c r="X24" s="19"/>
      <c r="Y24" s="19"/>
      <c r="AA24" s="20"/>
      <c r="AB24" s="20"/>
      <c r="AC24" s="20"/>
    </row>
    <row r="25">
      <c r="A25" s="35">
        <v>-13.435</v>
      </c>
      <c r="B25" s="36">
        <v>22.232</v>
      </c>
      <c r="C25" s="36">
        <v>-1.886</v>
      </c>
      <c r="D25" s="36" t="s">
        <v>3</v>
      </c>
      <c r="E25" s="37">
        <v>-0.159</v>
      </c>
      <c r="F25" s="35">
        <v>-7.806</v>
      </c>
      <c r="G25" s="36">
        <v>-8.851</v>
      </c>
      <c r="H25" s="36">
        <v>5.559</v>
      </c>
      <c r="I25" s="36" t="s">
        <v>10</v>
      </c>
      <c r="J25" s="37">
        <v>-1.016</v>
      </c>
      <c r="K25" s="35">
        <v>2.964</v>
      </c>
      <c r="L25" s="36">
        <v>-2.542</v>
      </c>
      <c r="M25" s="36">
        <v>14.34</v>
      </c>
      <c r="N25" s="36" t="s">
        <v>5</v>
      </c>
      <c r="O25" s="37">
        <v>-0.938</v>
      </c>
      <c r="P25" s="36"/>
      <c r="T25" s="19"/>
      <c r="U25" s="19"/>
      <c r="V25" s="19"/>
      <c r="W25" s="19"/>
      <c r="X25" s="19"/>
      <c r="Y25" s="19"/>
      <c r="AA25" s="20"/>
      <c r="AB25" s="20"/>
      <c r="AC25" s="20"/>
    </row>
    <row r="26">
      <c r="A26" s="35">
        <v>3.374</v>
      </c>
      <c r="B26" s="36">
        <v>15.178</v>
      </c>
      <c r="C26" s="36">
        <v>13.272</v>
      </c>
      <c r="D26" s="36" t="s">
        <v>4</v>
      </c>
      <c r="E26" s="37">
        <v>-0.159</v>
      </c>
      <c r="F26" s="35">
        <v>-9.882</v>
      </c>
      <c r="G26" s="36">
        <v>13.036</v>
      </c>
      <c r="H26" s="36">
        <v>2.658</v>
      </c>
      <c r="I26" s="36" t="s">
        <v>16</v>
      </c>
      <c r="J26" s="37">
        <v>-1.012</v>
      </c>
      <c r="K26" s="35">
        <v>-9.859</v>
      </c>
      <c r="L26" s="36">
        <v>-9.716</v>
      </c>
      <c r="M26" s="36">
        <v>-4.594</v>
      </c>
      <c r="N26" s="36" t="s">
        <v>7</v>
      </c>
      <c r="O26" s="37">
        <v>-0.935</v>
      </c>
      <c r="P26" s="36"/>
      <c r="T26" s="19"/>
      <c r="U26" s="19"/>
      <c r="V26" s="19"/>
      <c r="W26" s="19"/>
      <c r="X26" s="19"/>
      <c r="Y26" s="19"/>
      <c r="AA26" s="20"/>
      <c r="AB26" s="20"/>
      <c r="AC26" s="20"/>
    </row>
    <row r="27">
      <c r="A27" s="35">
        <v>20.557</v>
      </c>
      <c r="B27" s="36">
        <v>2.65</v>
      </c>
      <c r="C27" s="36">
        <v>17.618</v>
      </c>
      <c r="D27" s="36" t="s">
        <v>14</v>
      </c>
      <c r="E27" s="37">
        <v>-0.159</v>
      </c>
      <c r="F27" s="35">
        <v>-2.557</v>
      </c>
      <c r="G27" s="36">
        <v>14.767</v>
      </c>
      <c r="H27" s="36">
        <v>-14.974</v>
      </c>
      <c r="I27" s="36" t="s">
        <v>17</v>
      </c>
      <c r="J27" s="37">
        <v>-1.003</v>
      </c>
      <c r="K27" s="45">
        <v>-5.1</v>
      </c>
      <c r="L27" s="46">
        <v>10.29</v>
      </c>
      <c r="M27" s="46">
        <v>12.733</v>
      </c>
      <c r="N27" s="46" t="s">
        <v>17</v>
      </c>
      <c r="O27" s="47">
        <v>-0.933</v>
      </c>
      <c r="P27" s="36"/>
      <c r="T27" s="19"/>
      <c r="U27" s="19"/>
      <c r="V27" s="19"/>
      <c r="W27" s="19"/>
      <c r="X27" s="19"/>
      <c r="Y27" s="19"/>
      <c r="AA27" s="20"/>
      <c r="AB27" s="20"/>
      <c r="AC27" s="20"/>
    </row>
    <row r="28">
      <c r="A28" s="35">
        <v>-13.548</v>
      </c>
      <c r="B28" s="36">
        <v>-4.216</v>
      </c>
      <c r="C28" s="36">
        <v>4.214</v>
      </c>
      <c r="D28" s="36" t="s">
        <v>2</v>
      </c>
      <c r="E28" s="37">
        <v>-0.156</v>
      </c>
      <c r="F28" s="35">
        <v>17.147</v>
      </c>
      <c r="G28" s="36">
        <v>2.149</v>
      </c>
      <c r="H28" s="36">
        <v>-13.319</v>
      </c>
      <c r="I28" s="36" t="s">
        <v>8</v>
      </c>
      <c r="J28" s="37">
        <v>-0.992</v>
      </c>
      <c r="K28" s="45">
        <v>19.268</v>
      </c>
      <c r="L28" s="46">
        <v>1.848</v>
      </c>
      <c r="M28" s="46">
        <v>10.354</v>
      </c>
      <c r="N28" s="46" t="s">
        <v>14</v>
      </c>
      <c r="O28" s="47">
        <v>-0.915</v>
      </c>
      <c r="P28" s="36"/>
      <c r="T28" s="19"/>
      <c r="U28" s="19"/>
      <c r="V28" s="19"/>
      <c r="W28" s="19"/>
      <c r="X28" s="19"/>
      <c r="Y28" s="19"/>
      <c r="AA28" s="20"/>
      <c r="AB28" s="20"/>
      <c r="AC28" s="20"/>
    </row>
    <row r="29">
      <c r="A29" s="35">
        <v>-10.959</v>
      </c>
      <c r="B29" s="36">
        <v>5.28</v>
      </c>
      <c r="C29" s="36">
        <v>-3.443</v>
      </c>
      <c r="D29" s="36" t="s">
        <v>11</v>
      </c>
      <c r="E29" s="37">
        <v>-0.152</v>
      </c>
      <c r="F29" s="35">
        <v>16.945</v>
      </c>
      <c r="G29" s="36">
        <v>-12.835</v>
      </c>
      <c r="H29" s="36">
        <v>-6.581</v>
      </c>
      <c r="I29" s="36" t="s">
        <v>26</v>
      </c>
      <c r="J29" s="37">
        <v>-0.978</v>
      </c>
      <c r="K29" s="45">
        <v>7.693</v>
      </c>
      <c r="L29" s="46">
        <v>2.432</v>
      </c>
      <c r="M29" s="46">
        <v>-15.318</v>
      </c>
      <c r="N29" s="46" t="s">
        <v>6</v>
      </c>
      <c r="O29" s="47">
        <v>-0.914</v>
      </c>
      <c r="P29" s="36"/>
      <c r="T29" s="19"/>
      <c r="U29" s="19"/>
      <c r="V29" s="19"/>
      <c r="W29" s="19"/>
      <c r="X29" s="19"/>
      <c r="Y29" s="19"/>
      <c r="AA29" s="20"/>
      <c r="AB29" s="20"/>
      <c r="AC29" s="20"/>
    </row>
    <row r="30">
      <c r="A30" s="35">
        <v>11.438</v>
      </c>
      <c r="B30" s="36">
        <v>13.724</v>
      </c>
      <c r="C30" s="36">
        <v>6.066</v>
      </c>
      <c r="D30" s="36" t="s">
        <v>8</v>
      </c>
      <c r="E30" s="37">
        <v>-0.152</v>
      </c>
      <c r="F30" s="35">
        <v>-14.048</v>
      </c>
      <c r="G30" s="36">
        <v>-1.153</v>
      </c>
      <c r="H30" s="36">
        <v>6.139</v>
      </c>
      <c r="I30" s="36" t="s">
        <v>6</v>
      </c>
      <c r="J30" s="37">
        <v>-0.976</v>
      </c>
      <c r="K30" s="45">
        <v>16.204</v>
      </c>
      <c r="L30" s="46">
        <v>1.757</v>
      </c>
      <c r="M30" s="46">
        <v>-12.65</v>
      </c>
      <c r="N30" s="46" t="s">
        <v>10</v>
      </c>
      <c r="O30" s="47">
        <v>-0.909</v>
      </c>
      <c r="P30" s="36"/>
      <c r="T30" s="19"/>
      <c r="U30" s="19"/>
      <c r="V30" s="19"/>
      <c r="W30" s="19"/>
      <c r="X30" s="19"/>
      <c r="Y30" s="19"/>
      <c r="AA30" s="20"/>
      <c r="AB30" s="20"/>
      <c r="AC30" s="20"/>
    </row>
    <row r="31">
      <c r="A31" s="35">
        <v>-5.236</v>
      </c>
      <c r="B31" s="36">
        <v>4.774</v>
      </c>
      <c r="C31" s="36">
        <v>-9.665</v>
      </c>
      <c r="D31" s="36" t="s">
        <v>12</v>
      </c>
      <c r="E31" s="37">
        <v>-0.151</v>
      </c>
      <c r="F31" s="35">
        <v>-20.805</v>
      </c>
      <c r="G31" s="36">
        <v>7.261</v>
      </c>
      <c r="H31" s="36">
        <v>11.037</v>
      </c>
      <c r="I31" s="36" t="s">
        <v>16</v>
      </c>
      <c r="J31" s="37">
        <v>-0.976</v>
      </c>
      <c r="K31" s="35">
        <v>-12.862</v>
      </c>
      <c r="L31" s="36">
        <v>-4.283</v>
      </c>
      <c r="M31" s="36">
        <v>21.426</v>
      </c>
      <c r="N31" s="36" t="s">
        <v>9</v>
      </c>
      <c r="O31" s="37">
        <v>-0.897</v>
      </c>
      <c r="T31" s="19"/>
      <c r="U31" s="19"/>
      <c r="V31" s="19"/>
      <c r="W31" s="19"/>
      <c r="X31" s="19"/>
      <c r="Y31" s="19"/>
      <c r="AA31" s="20"/>
      <c r="AB31" s="20"/>
      <c r="AC31" s="20"/>
    </row>
    <row r="32">
      <c r="A32" s="35">
        <v>-14.042</v>
      </c>
      <c r="B32" s="36">
        <v>-3.014</v>
      </c>
      <c r="C32" s="36">
        <v>3.377</v>
      </c>
      <c r="D32" s="36" t="s">
        <v>14</v>
      </c>
      <c r="E32" s="37">
        <v>-0.151</v>
      </c>
      <c r="F32" s="35">
        <v>20.054</v>
      </c>
      <c r="G32" s="36">
        <v>0.967</v>
      </c>
      <c r="H32" s="36">
        <v>7.962</v>
      </c>
      <c r="I32" s="36" t="s">
        <v>11</v>
      </c>
      <c r="J32" s="37">
        <v>-0.975</v>
      </c>
      <c r="K32" s="35">
        <v>-5.253</v>
      </c>
      <c r="L32" s="36">
        <v>20.753</v>
      </c>
      <c r="M32" s="36">
        <v>-6.833</v>
      </c>
      <c r="N32" s="36" t="s">
        <v>4</v>
      </c>
      <c r="O32" s="37">
        <v>-0.897</v>
      </c>
      <c r="T32" s="19"/>
      <c r="U32" s="19"/>
      <c r="V32" s="19"/>
      <c r="W32" s="19"/>
      <c r="X32" s="19"/>
      <c r="Y32" s="19"/>
      <c r="AA32" s="20"/>
      <c r="AB32" s="20"/>
      <c r="AC32" s="20"/>
    </row>
    <row r="33">
      <c r="A33" s="35">
        <v>27.036</v>
      </c>
      <c r="B33" s="36">
        <v>-9.377</v>
      </c>
      <c r="C33" s="36">
        <v>-9.456</v>
      </c>
      <c r="D33" s="36" t="s">
        <v>8</v>
      </c>
      <c r="E33" s="37">
        <v>-0.151</v>
      </c>
      <c r="F33" s="35">
        <v>-1.808</v>
      </c>
      <c r="G33" s="36">
        <v>-2.009</v>
      </c>
      <c r="H33" s="36">
        <v>15.461</v>
      </c>
      <c r="I33" s="36" t="s">
        <v>24</v>
      </c>
      <c r="J33" s="37">
        <v>-0.969</v>
      </c>
      <c r="K33" s="35">
        <v>17.268</v>
      </c>
      <c r="L33" s="36">
        <v>2.89</v>
      </c>
      <c r="M33" s="36">
        <v>-13.199</v>
      </c>
      <c r="N33" s="36" t="s">
        <v>8</v>
      </c>
      <c r="O33" s="37">
        <v>-0.894</v>
      </c>
      <c r="T33" s="19"/>
      <c r="U33" s="19"/>
      <c r="V33" s="19"/>
      <c r="W33" s="19"/>
      <c r="X33" s="19"/>
      <c r="Y33" s="19"/>
      <c r="AA33" s="20"/>
      <c r="AB33" s="20"/>
      <c r="AC33" s="20"/>
    </row>
    <row r="34">
      <c r="A34" s="48">
        <v>12.708</v>
      </c>
      <c r="B34" s="49">
        <v>13.87</v>
      </c>
      <c r="C34" s="49">
        <v>-8.104</v>
      </c>
      <c r="D34" s="49" t="s">
        <v>9</v>
      </c>
      <c r="E34" s="50">
        <v>-0.146</v>
      </c>
      <c r="F34" s="48">
        <v>-6.858</v>
      </c>
      <c r="G34" s="49">
        <v>20.603</v>
      </c>
      <c r="H34" s="49">
        <v>-0.128</v>
      </c>
      <c r="I34" s="49" t="s">
        <v>8</v>
      </c>
      <c r="J34" s="50">
        <v>-0.968</v>
      </c>
      <c r="K34" s="48">
        <v>-4.784</v>
      </c>
      <c r="L34" s="49">
        <v>0.202</v>
      </c>
      <c r="M34" s="49">
        <v>23.859</v>
      </c>
      <c r="N34" s="49" t="s">
        <v>13</v>
      </c>
      <c r="O34" s="50">
        <v>-0.892</v>
      </c>
      <c r="T34" s="19"/>
      <c r="U34" s="19"/>
      <c r="V34" s="19"/>
      <c r="W34" s="19"/>
      <c r="X34" s="19"/>
      <c r="Y34" s="19"/>
      <c r="AA34" s="20"/>
      <c r="AB34" s="20"/>
      <c r="AC34" s="20"/>
    </row>
    <row r="35">
      <c r="A35" s="9" t="s">
        <v>33</v>
      </c>
      <c r="B35" s="9"/>
      <c r="C35" s="9"/>
      <c r="D35" s="10"/>
      <c r="E35" s="10"/>
      <c r="F35" s="11" t="s">
        <v>34</v>
      </c>
      <c r="G35" s="11"/>
      <c r="H35" s="11"/>
      <c r="I35" s="10"/>
      <c r="J35" s="10"/>
      <c r="K35" s="11" t="s">
        <v>35</v>
      </c>
      <c r="L35" s="11"/>
      <c r="M35" s="11"/>
      <c r="N35" s="10"/>
      <c r="O35" s="10"/>
      <c r="T35" s="19"/>
      <c r="U35" s="19"/>
      <c r="V35" s="19"/>
      <c r="W35" s="19"/>
      <c r="X35" s="19"/>
      <c r="Y35" s="19"/>
      <c r="AA35" s="20"/>
      <c r="AB35" s="20"/>
      <c r="AC35" s="20"/>
    </row>
    <row r="36">
      <c r="A36" s="16" t="s">
        <v>36</v>
      </c>
      <c r="B36" s="17" t="s">
        <v>37</v>
      </c>
      <c r="C36" s="17" t="s">
        <v>38</v>
      </c>
      <c r="D36" s="17" t="s">
        <v>39</v>
      </c>
      <c r="E36" s="18" t="s">
        <v>40</v>
      </c>
      <c r="F36" s="16" t="s">
        <v>36</v>
      </c>
      <c r="G36" s="17" t="s">
        <v>37</v>
      </c>
      <c r="H36" s="17" t="s">
        <v>38</v>
      </c>
      <c r="I36" s="17" t="s">
        <v>39</v>
      </c>
      <c r="J36" s="18" t="s">
        <v>40</v>
      </c>
      <c r="K36" s="16" t="s">
        <v>36</v>
      </c>
      <c r="L36" s="17" t="s">
        <v>37</v>
      </c>
      <c r="M36" s="17" t="s">
        <v>38</v>
      </c>
      <c r="N36" s="17" t="s">
        <v>39</v>
      </c>
      <c r="O36" s="18" t="s">
        <v>40</v>
      </c>
      <c r="T36" s="19"/>
      <c r="U36" s="19"/>
      <c r="V36" s="19"/>
      <c r="W36" s="19"/>
      <c r="X36" s="19"/>
      <c r="Y36" s="19"/>
      <c r="AA36" s="20"/>
      <c r="AB36" s="20"/>
      <c r="AC36" s="20"/>
    </row>
    <row r="37">
      <c r="A37" s="21">
        <v>-5.719</v>
      </c>
      <c r="B37" s="22">
        <v>20.127</v>
      </c>
      <c r="C37" s="22">
        <v>-7.11</v>
      </c>
      <c r="D37" s="22" t="s">
        <v>4</v>
      </c>
      <c r="E37" s="23">
        <v>-1.159</v>
      </c>
      <c r="F37" s="21">
        <v>-12.574</v>
      </c>
      <c r="G37" s="22">
        <v>3.447</v>
      </c>
      <c r="H37" s="22">
        <v>25.027</v>
      </c>
      <c r="I37" s="22" t="s">
        <v>11</v>
      </c>
      <c r="J37" s="23">
        <v>-1.469</v>
      </c>
      <c r="K37" s="21">
        <v>-7.076</v>
      </c>
      <c r="L37" s="22">
        <v>6.975</v>
      </c>
      <c r="M37" s="22">
        <v>-8.468</v>
      </c>
      <c r="N37" s="22" t="s">
        <v>11</v>
      </c>
      <c r="O37" s="23">
        <v>-0.842</v>
      </c>
      <c r="T37" s="19"/>
      <c r="U37" s="19"/>
      <c r="V37" s="19"/>
      <c r="W37" s="19"/>
      <c r="X37" s="19"/>
      <c r="Y37" s="19"/>
      <c r="AA37" s="20"/>
      <c r="AB37" s="20"/>
      <c r="AC37" s="20"/>
    </row>
    <row r="38">
      <c r="A38" s="24">
        <v>27.72</v>
      </c>
      <c r="B38" s="25">
        <v>-2.193</v>
      </c>
      <c r="C38" s="25">
        <v>-7.489</v>
      </c>
      <c r="D38" s="25" t="s">
        <v>11</v>
      </c>
      <c r="E38" s="26">
        <v>-1.148</v>
      </c>
      <c r="F38" s="24">
        <v>15.438</v>
      </c>
      <c r="G38" s="25">
        <v>6.689</v>
      </c>
      <c r="H38" s="25">
        <v>6.478</v>
      </c>
      <c r="I38" s="25" t="s">
        <v>6</v>
      </c>
      <c r="J38" s="26">
        <v>-1.365</v>
      </c>
      <c r="K38" s="24">
        <v>15.438</v>
      </c>
      <c r="L38" s="25">
        <v>6.689</v>
      </c>
      <c r="M38" s="25">
        <v>6.478</v>
      </c>
      <c r="N38" s="25" t="s">
        <v>6</v>
      </c>
      <c r="O38" s="26">
        <v>-0.832</v>
      </c>
      <c r="T38" s="19"/>
      <c r="U38" s="19"/>
      <c r="V38" s="19"/>
      <c r="W38" s="19"/>
      <c r="X38" s="19"/>
      <c r="Y38" s="19"/>
      <c r="AA38" s="20"/>
      <c r="AB38" s="20"/>
      <c r="AC38" s="20"/>
    </row>
    <row r="39">
      <c r="A39" s="24">
        <v>-21.881</v>
      </c>
      <c r="B39" s="25">
        <v>4.895</v>
      </c>
      <c r="C39" s="25">
        <v>-20.556</v>
      </c>
      <c r="D39" s="25" t="s">
        <v>15</v>
      </c>
      <c r="E39" s="26">
        <v>-1.137</v>
      </c>
      <c r="F39" s="24">
        <v>-12.461</v>
      </c>
      <c r="G39" s="25">
        <v>3.516</v>
      </c>
      <c r="H39" s="25">
        <v>25.167</v>
      </c>
      <c r="I39" s="25" t="s">
        <v>7</v>
      </c>
      <c r="J39" s="26">
        <v>-1.336</v>
      </c>
      <c r="K39" s="24">
        <v>24.938</v>
      </c>
      <c r="L39" s="25">
        <v>-11.295</v>
      </c>
      <c r="M39" s="25">
        <v>-1.745</v>
      </c>
      <c r="N39" s="25" t="s">
        <v>14</v>
      </c>
      <c r="O39" s="26">
        <v>-0.816</v>
      </c>
      <c r="T39" s="19"/>
      <c r="U39" s="19"/>
      <c r="V39" s="19"/>
      <c r="W39" s="19"/>
      <c r="X39" s="19"/>
      <c r="Y39" s="19"/>
      <c r="AA39" s="20"/>
      <c r="AB39" s="20"/>
      <c r="AC39" s="20"/>
    </row>
    <row r="40">
      <c r="A40" s="24">
        <v>25.598</v>
      </c>
      <c r="B40" s="25">
        <v>6.593</v>
      </c>
      <c r="C40" s="25">
        <v>-0.343</v>
      </c>
      <c r="D40" s="25" t="s">
        <v>5</v>
      </c>
      <c r="E40" s="26">
        <v>-1.122</v>
      </c>
      <c r="F40" s="24">
        <v>-21.693</v>
      </c>
      <c r="G40" s="25">
        <v>4.665</v>
      </c>
      <c r="H40" s="25">
        <v>-20.203</v>
      </c>
      <c r="I40" s="25" t="s">
        <v>15</v>
      </c>
      <c r="J40" s="26">
        <v>-1.321</v>
      </c>
      <c r="K40" s="24">
        <v>12.739</v>
      </c>
      <c r="L40" s="25">
        <v>12.509</v>
      </c>
      <c r="M40" s="25">
        <v>-13.144</v>
      </c>
      <c r="N40" s="25" t="s">
        <v>6</v>
      </c>
      <c r="O40" s="26">
        <v>-0.804</v>
      </c>
      <c r="T40" s="19"/>
      <c r="U40" s="19"/>
      <c r="V40" s="19"/>
      <c r="W40" s="19"/>
      <c r="X40" s="19"/>
      <c r="Y40" s="19"/>
      <c r="AA40" s="20"/>
      <c r="AB40" s="20"/>
      <c r="AC40" s="20"/>
    </row>
    <row r="41">
      <c r="A41" s="24">
        <v>20.19</v>
      </c>
      <c r="B41" s="25">
        <v>2.179</v>
      </c>
      <c r="C41" s="25">
        <v>9.391</v>
      </c>
      <c r="D41" s="25" t="s">
        <v>14</v>
      </c>
      <c r="E41" s="26">
        <v>-1.118</v>
      </c>
      <c r="F41" s="24">
        <v>7.762</v>
      </c>
      <c r="G41" s="25">
        <v>2.6</v>
      </c>
      <c r="H41" s="25">
        <v>-15.368</v>
      </c>
      <c r="I41" s="25" t="s">
        <v>6</v>
      </c>
      <c r="J41" s="26">
        <v>-1.302</v>
      </c>
      <c r="K41" s="24">
        <v>-10.271</v>
      </c>
      <c r="L41" s="25">
        <v>6.549</v>
      </c>
      <c r="M41" s="25">
        <v>-7.754</v>
      </c>
      <c r="N41" s="25" t="s">
        <v>8</v>
      </c>
      <c r="O41" s="26">
        <v>-0.779</v>
      </c>
      <c r="T41" s="19"/>
      <c r="U41" s="19"/>
      <c r="V41" s="19"/>
      <c r="W41" s="19"/>
      <c r="X41" s="19"/>
      <c r="Y41" s="19"/>
      <c r="AA41" s="20"/>
      <c r="AB41" s="20"/>
      <c r="AC41" s="20"/>
    </row>
    <row r="42">
      <c r="A42" s="24">
        <v>-12.742</v>
      </c>
      <c r="B42" s="25">
        <v>6.762</v>
      </c>
      <c r="C42" s="25">
        <v>24.991</v>
      </c>
      <c r="D42" s="25" t="s">
        <v>7</v>
      </c>
      <c r="E42" s="26">
        <v>-1.112</v>
      </c>
      <c r="F42" s="24">
        <v>-10.483</v>
      </c>
      <c r="G42" s="25">
        <v>10.179</v>
      </c>
      <c r="H42" s="25">
        <v>1.35</v>
      </c>
      <c r="I42" s="25" t="s">
        <v>4</v>
      </c>
      <c r="J42" s="26">
        <v>-1.299</v>
      </c>
      <c r="K42" s="24">
        <v>-21.881</v>
      </c>
      <c r="L42" s="25">
        <v>4.895</v>
      </c>
      <c r="M42" s="25">
        <v>-20.556</v>
      </c>
      <c r="N42" s="25" t="s">
        <v>15</v>
      </c>
      <c r="O42" s="26">
        <v>-0.769</v>
      </c>
      <c r="T42" s="19"/>
      <c r="U42" s="19"/>
      <c r="V42" s="19"/>
      <c r="W42" s="19"/>
      <c r="X42" s="19"/>
      <c r="Y42" s="19"/>
      <c r="AA42" s="20"/>
      <c r="AB42" s="20"/>
      <c r="AC42" s="20"/>
    </row>
    <row r="43">
      <c r="A43" s="24">
        <v>11.861</v>
      </c>
      <c r="B43" s="25">
        <v>13.57</v>
      </c>
      <c r="C43" s="25">
        <v>-1.451</v>
      </c>
      <c r="D43" s="25" t="s">
        <v>12</v>
      </c>
      <c r="E43" s="26">
        <v>-1.09</v>
      </c>
      <c r="F43" s="24">
        <v>25.955</v>
      </c>
      <c r="G43" s="25">
        <v>6.347</v>
      </c>
      <c r="H43" s="25">
        <v>-0.377</v>
      </c>
      <c r="I43" s="25" t="s">
        <v>5</v>
      </c>
      <c r="J43" s="26">
        <v>-1.295</v>
      </c>
      <c r="K43" s="24">
        <v>-5.719</v>
      </c>
      <c r="L43" s="25">
        <v>20.127</v>
      </c>
      <c r="M43" s="25">
        <v>-7.11</v>
      </c>
      <c r="N43" s="25" t="s">
        <v>4</v>
      </c>
      <c r="O43" s="26">
        <v>-0.768</v>
      </c>
      <c r="T43" s="19"/>
      <c r="U43" s="19"/>
      <c r="V43" s="19"/>
      <c r="W43" s="19"/>
      <c r="X43" s="19"/>
      <c r="Y43" s="19"/>
      <c r="AA43" s="20"/>
      <c r="AB43" s="20"/>
      <c r="AC43" s="20"/>
    </row>
    <row r="44">
      <c r="A44" s="27">
        <v>-18.199</v>
      </c>
      <c r="B44" s="28">
        <v>3.773</v>
      </c>
      <c r="C44" s="28">
        <v>26.268</v>
      </c>
      <c r="D44" s="29" t="s">
        <v>11</v>
      </c>
      <c r="E44" s="30">
        <v>-1.076</v>
      </c>
      <c r="F44" s="24">
        <v>3.212</v>
      </c>
      <c r="G44" s="25">
        <v>-3.488</v>
      </c>
      <c r="H44" s="25">
        <v>14.35</v>
      </c>
      <c r="I44" s="25" t="s">
        <v>5</v>
      </c>
      <c r="J44" s="26">
        <v>-1.295</v>
      </c>
      <c r="K44" s="24">
        <v>11.861</v>
      </c>
      <c r="L44" s="25">
        <v>13.57</v>
      </c>
      <c r="M44" s="25">
        <v>-1.451</v>
      </c>
      <c r="N44" s="25" t="s">
        <v>12</v>
      </c>
      <c r="O44" s="26">
        <v>-0.765</v>
      </c>
      <c r="T44" s="19"/>
      <c r="U44" s="19"/>
      <c r="V44" s="19"/>
      <c r="W44" s="19"/>
      <c r="X44" s="19"/>
      <c r="Y44" s="19"/>
      <c r="AA44" s="20"/>
      <c r="AB44" s="20"/>
      <c r="AC44" s="20"/>
    </row>
    <row r="45">
      <c r="A45" s="27">
        <v>-5.344</v>
      </c>
      <c r="B45" s="28">
        <v>20.631</v>
      </c>
      <c r="C45" s="28">
        <v>-6.851</v>
      </c>
      <c r="D45" s="29" t="s">
        <v>4</v>
      </c>
      <c r="E45" s="30">
        <v>-1.057</v>
      </c>
      <c r="F45" s="24">
        <v>4.525</v>
      </c>
      <c r="G45" s="25">
        <v>-17.634</v>
      </c>
      <c r="H45" s="25">
        <v>4.223</v>
      </c>
      <c r="I45" s="25" t="s">
        <v>11</v>
      </c>
      <c r="J45" s="26">
        <v>-1.292</v>
      </c>
      <c r="K45" s="24">
        <v>11.023</v>
      </c>
      <c r="L45" s="25">
        <v>-3.998</v>
      </c>
      <c r="M45" s="25">
        <v>-20.186</v>
      </c>
      <c r="N45" s="25" t="s">
        <v>11</v>
      </c>
      <c r="O45" s="26">
        <v>-0.739</v>
      </c>
      <c r="T45" s="19"/>
      <c r="U45" s="19"/>
      <c r="V45" s="19"/>
      <c r="W45" s="19"/>
      <c r="X45" s="19"/>
      <c r="Y45" s="19"/>
      <c r="AA45" s="20"/>
      <c r="AB45" s="20"/>
      <c r="AC45" s="20"/>
    </row>
    <row r="46">
      <c r="A46" s="27">
        <v>-21.941</v>
      </c>
      <c r="B46" s="28">
        <v>14.327</v>
      </c>
      <c r="C46" s="28">
        <v>-8.858</v>
      </c>
      <c r="D46" s="29" t="s">
        <v>11</v>
      </c>
      <c r="E46" s="30">
        <v>-1.046</v>
      </c>
      <c r="F46" s="24">
        <v>-5.51</v>
      </c>
      <c r="G46" s="25">
        <v>20.099</v>
      </c>
      <c r="H46" s="25">
        <v>-7.131</v>
      </c>
      <c r="I46" s="25" t="s">
        <v>4</v>
      </c>
      <c r="J46" s="26">
        <v>-1.29</v>
      </c>
      <c r="K46" s="24">
        <v>25.955</v>
      </c>
      <c r="L46" s="25">
        <v>6.347</v>
      </c>
      <c r="M46" s="25">
        <v>-0.377</v>
      </c>
      <c r="N46" s="25" t="s">
        <v>5</v>
      </c>
      <c r="O46" s="26">
        <v>-0.737</v>
      </c>
      <c r="T46" s="19"/>
      <c r="U46" s="19"/>
      <c r="V46" s="19"/>
      <c r="W46" s="19"/>
      <c r="X46" s="19"/>
      <c r="Y46" s="19"/>
      <c r="AA46" s="20"/>
      <c r="AB46" s="20"/>
      <c r="AC46" s="20"/>
    </row>
    <row r="47">
      <c r="A47" s="31">
        <v>15.438</v>
      </c>
      <c r="B47" s="32">
        <v>6.689</v>
      </c>
      <c r="C47" s="32">
        <v>6.478</v>
      </c>
      <c r="D47" s="33" t="s">
        <v>6</v>
      </c>
      <c r="E47" s="34">
        <v>-1.043</v>
      </c>
      <c r="F47" s="35">
        <v>20.966</v>
      </c>
      <c r="G47" s="36">
        <v>2.204</v>
      </c>
      <c r="H47" s="36">
        <v>10.294</v>
      </c>
      <c r="I47" s="36" t="s">
        <v>14</v>
      </c>
      <c r="J47" s="37">
        <v>-1.288</v>
      </c>
      <c r="K47" s="35">
        <v>-5.344</v>
      </c>
      <c r="L47" s="36">
        <v>20.631</v>
      </c>
      <c r="M47" s="36">
        <v>-6.851</v>
      </c>
      <c r="N47" s="36" t="s">
        <v>4</v>
      </c>
      <c r="O47" s="37">
        <v>-0.732</v>
      </c>
      <c r="T47" s="19"/>
      <c r="U47" s="19"/>
      <c r="V47" s="19"/>
      <c r="W47" s="19"/>
      <c r="X47" s="19"/>
      <c r="Y47" s="19"/>
      <c r="AA47" s="20"/>
      <c r="AB47" s="20"/>
      <c r="AC47" s="20"/>
    </row>
    <row r="48">
      <c r="A48" s="31">
        <v>20.163</v>
      </c>
      <c r="B48" s="32">
        <v>0.28</v>
      </c>
      <c r="C48" s="32">
        <v>7.886</v>
      </c>
      <c r="D48" s="33" t="s">
        <v>11</v>
      </c>
      <c r="E48" s="34">
        <v>-1.028</v>
      </c>
      <c r="F48" s="35">
        <v>12.111</v>
      </c>
      <c r="G48" s="36">
        <v>13.611</v>
      </c>
      <c r="H48" s="36">
        <v>-1.703</v>
      </c>
      <c r="I48" s="36" t="s">
        <v>9</v>
      </c>
      <c r="J48" s="37">
        <v>-1.282</v>
      </c>
      <c r="K48" s="35">
        <v>-12.574</v>
      </c>
      <c r="L48" s="36">
        <v>3.447</v>
      </c>
      <c r="M48" s="36">
        <v>25.027</v>
      </c>
      <c r="N48" s="36" t="s">
        <v>11</v>
      </c>
      <c r="O48" s="37">
        <v>-0.725</v>
      </c>
      <c r="T48" s="19"/>
      <c r="U48" s="19"/>
      <c r="V48" s="19"/>
      <c r="W48" s="19"/>
      <c r="X48" s="19"/>
      <c r="Y48" s="19"/>
      <c r="AA48" s="20"/>
      <c r="AB48" s="20"/>
      <c r="AC48" s="20"/>
    </row>
    <row r="49">
      <c r="A49" s="35">
        <v>-16.914</v>
      </c>
      <c r="B49" s="36">
        <v>0.177</v>
      </c>
      <c r="C49" s="36">
        <v>-10.517</v>
      </c>
      <c r="D49" s="36" t="s">
        <v>7</v>
      </c>
      <c r="E49" s="37">
        <v>-1.021</v>
      </c>
      <c r="F49" s="35">
        <v>-10.492</v>
      </c>
      <c r="G49" s="36">
        <v>10.783</v>
      </c>
      <c r="H49" s="36">
        <v>1.907</v>
      </c>
      <c r="I49" s="36" t="s">
        <v>4</v>
      </c>
      <c r="J49" s="37">
        <v>-1.278</v>
      </c>
      <c r="K49" s="40">
        <v>-9.913</v>
      </c>
      <c r="L49" s="41">
        <v>-3.209</v>
      </c>
      <c r="M49" s="41">
        <v>12.237</v>
      </c>
      <c r="N49" s="51" t="s">
        <v>6</v>
      </c>
      <c r="O49" s="52">
        <v>-0.721</v>
      </c>
      <c r="T49" s="19"/>
      <c r="U49" s="19"/>
      <c r="V49" s="19"/>
      <c r="W49" s="19"/>
      <c r="X49" s="19"/>
      <c r="Y49" s="19"/>
      <c r="AA49" s="20"/>
      <c r="AB49" s="20"/>
      <c r="AC49" s="20"/>
    </row>
    <row r="50">
      <c r="A50" s="35">
        <v>8.419</v>
      </c>
      <c r="B50" s="36">
        <v>18.795</v>
      </c>
      <c r="C50" s="36">
        <v>-4.814</v>
      </c>
      <c r="D50" s="36" t="s">
        <v>2</v>
      </c>
      <c r="E50" s="37">
        <v>-1.012</v>
      </c>
      <c r="F50" s="35">
        <v>-9.228</v>
      </c>
      <c r="G50" s="36">
        <v>-10.252</v>
      </c>
      <c r="H50" s="36">
        <v>-4.964</v>
      </c>
      <c r="I50" s="36" t="s">
        <v>7</v>
      </c>
      <c r="J50" s="37">
        <v>-1.277</v>
      </c>
      <c r="K50" s="35">
        <v>14.613</v>
      </c>
      <c r="L50" s="36">
        <v>6.07</v>
      </c>
      <c r="M50" s="36">
        <v>5.505</v>
      </c>
      <c r="N50" s="36" t="s">
        <v>13</v>
      </c>
      <c r="O50" s="37">
        <v>-0.718</v>
      </c>
      <c r="T50" s="19"/>
      <c r="U50" s="19"/>
      <c r="V50" s="19"/>
      <c r="W50" s="19"/>
      <c r="X50" s="19"/>
      <c r="Y50" s="19"/>
      <c r="AA50" s="20"/>
      <c r="AB50" s="20"/>
      <c r="AC50" s="20"/>
    </row>
    <row r="51">
      <c r="A51" s="35">
        <v>8.393</v>
      </c>
      <c r="B51" s="36">
        <v>-16.101</v>
      </c>
      <c r="C51" s="36">
        <v>4.381</v>
      </c>
      <c r="D51" s="36" t="s">
        <v>11</v>
      </c>
      <c r="E51" s="37">
        <v>-1.01</v>
      </c>
      <c r="F51" s="35">
        <v>-16.923</v>
      </c>
      <c r="G51" s="36">
        <v>0.881</v>
      </c>
      <c r="H51" s="36">
        <v>15.469</v>
      </c>
      <c r="I51" s="36" t="s">
        <v>17</v>
      </c>
      <c r="J51" s="37">
        <v>-1.275</v>
      </c>
      <c r="K51" s="35">
        <v>-6.611</v>
      </c>
      <c r="L51" s="36">
        <v>-11.024</v>
      </c>
      <c r="M51" s="36">
        <v>-5.315</v>
      </c>
      <c r="N51" s="36" t="s">
        <v>11</v>
      </c>
      <c r="O51" s="37">
        <v>-0.709</v>
      </c>
      <c r="T51" s="19"/>
      <c r="U51" s="19"/>
      <c r="V51" s="19"/>
      <c r="W51" s="19"/>
      <c r="X51" s="19"/>
      <c r="Y51" s="19"/>
      <c r="AA51" s="20"/>
      <c r="AB51" s="20"/>
      <c r="AC51" s="20"/>
    </row>
    <row r="52">
      <c r="A52" s="35">
        <v>12.739</v>
      </c>
      <c r="B52" s="36">
        <v>12.509</v>
      </c>
      <c r="C52" s="36">
        <v>-13.144</v>
      </c>
      <c r="D52" s="36" t="s">
        <v>6</v>
      </c>
      <c r="E52" s="37">
        <v>-1.004</v>
      </c>
      <c r="F52" s="35">
        <v>14.161</v>
      </c>
      <c r="G52" s="36">
        <v>7.946</v>
      </c>
      <c r="H52" s="36">
        <v>7.35</v>
      </c>
      <c r="I52" s="36" t="s">
        <v>7</v>
      </c>
      <c r="J52" s="37">
        <v>-1.275</v>
      </c>
      <c r="K52" s="35">
        <v>-7.882</v>
      </c>
      <c r="L52" s="36">
        <v>6.88</v>
      </c>
      <c r="M52" s="36">
        <v>-8.1</v>
      </c>
      <c r="N52" s="36" t="s">
        <v>2</v>
      </c>
      <c r="O52" s="37">
        <v>-0.706</v>
      </c>
      <c r="T52" s="19"/>
      <c r="U52" s="19"/>
      <c r="V52" s="19"/>
      <c r="W52" s="19"/>
      <c r="X52" s="19"/>
      <c r="Y52" s="19"/>
      <c r="AA52" s="20"/>
      <c r="AB52" s="20"/>
      <c r="AC52" s="20"/>
    </row>
    <row r="53">
      <c r="A53" s="35">
        <v>2.543</v>
      </c>
      <c r="B53" s="36">
        <v>-2.788</v>
      </c>
      <c r="C53" s="36">
        <v>14.082</v>
      </c>
      <c r="D53" s="36" t="s">
        <v>5</v>
      </c>
      <c r="E53" s="37">
        <v>-0.997</v>
      </c>
      <c r="F53" s="35">
        <v>-4.784</v>
      </c>
      <c r="G53" s="36">
        <v>0.202</v>
      </c>
      <c r="H53" s="36">
        <v>23.859</v>
      </c>
      <c r="I53" s="36" t="s">
        <v>13</v>
      </c>
      <c r="J53" s="37">
        <v>-1.271</v>
      </c>
      <c r="K53" s="35">
        <v>-12.461</v>
      </c>
      <c r="L53" s="36">
        <v>3.516</v>
      </c>
      <c r="M53" s="36">
        <v>25.167</v>
      </c>
      <c r="N53" s="36" t="s">
        <v>7</v>
      </c>
      <c r="O53" s="37">
        <v>-0.704</v>
      </c>
      <c r="T53" s="19"/>
      <c r="U53" s="19"/>
      <c r="V53" s="19"/>
      <c r="W53" s="19"/>
      <c r="X53" s="19"/>
      <c r="Y53" s="19"/>
      <c r="AA53" s="20"/>
      <c r="AB53" s="20"/>
      <c r="AC53" s="20"/>
    </row>
    <row r="54">
      <c r="A54" s="35">
        <v>10.623</v>
      </c>
      <c r="B54" s="36">
        <v>-19.617</v>
      </c>
      <c r="C54" s="36">
        <v>-0.121</v>
      </c>
      <c r="D54" s="36" t="s">
        <v>16</v>
      </c>
      <c r="E54" s="37">
        <v>-0.997</v>
      </c>
      <c r="F54" s="35">
        <v>-6.078</v>
      </c>
      <c r="G54" s="36">
        <v>10.643</v>
      </c>
      <c r="H54" s="36">
        <v>13.349</v>
      </c>
      <c r="I54" s="36" t="s">
        <v>6</v>
      </c>
      <c r="J54" s="37">
        <v>-1.261</v>
      </c>
      <c r="K54" s="35">
        <v>-18.672</v>
      </c>
      <c r="L54" s="36">
        <v>-1.151</v>
      </c>
      <c r="M54" s="36">
        <v>-10.692</v>
      </c>
      <c r="N54" s="36" t="s">
        <v>7</v>
      </c>
      <c r="O54" s="37">
        <v>-0.703</v>
      </c>
      <c r="T54" s="19"/>
      <c r="U54" s="19"/>
      <c r="V54" s="19"/>
      <c r="W54" s="19"/>
      <c r="X54" s="19"/>
      <c r="Y54" s="19"/>
      <c r="AA54" s="20"/>
      <c r="AB54" s="20"/>
      <c r="AC54" s="20"/>
    </row>
    <row r="55">
      <c r="A55" s="35">
        <v>-9.857</v>
      </c>
      <c r="B55" s="36">
        <v>-9.779</v>
      </c>
      <c r="C55" s="36">
        <v>-4.201</v>
      </c>
      <c r="D55" s="36" t="s">
        <v>7</v>
      </c>
      <c r="E55" s="37">
        <v>-0.991</v>
      </c>
      <c r="F55" s="35">
        <v>7.693</v>
      </c>
      <c r="G55" s="36">
        <v>2.432</v>
      </c>
      <c r="H55" s="36">
        <v>-15.318</v>
      </c>
      <c r="I55" s="36" t="s">
        <v>6</v>
      </c>
      <c r="J55" s="37">
        <v>-1.259</v>
      </c>
      <c r="K55" s="35">
        <v>17.268</v>
      </c>
      <c r="L55" s="36">
        <v>2.89</v>
      </c>
      <c r="M55" s="36">
        <v>-13.199</v>
      </c>
      <c r="N55" s="36" t="s">
        <v>8</v>
      </c>
      <c r="O55" s="37">
        <v>-0.701</v>
      </c>
      <c r="T55" s="19"/>
      <c r="U55" s="19"/>
      <c r="V55" s="19"/>
      <c r="W55" s="19"/>
      <c r="X55" s="19"/>
      <c r="Y55" s="19"/>
      <c r="AA55" s="20"/>
      <c r="AB55" s="20"/>
      <c r="AC55" s="20"/>
    </row>
    <row r="56">
      <c r="A56" s="35">
        <v>-10.483</v>
      </c>
      <c r="B56" s="36">
        <v>10.179</v>
      </c>
      <c r="C56" s="36">
        <v>1.35</v>
      </c>
      <c r="D56" s="36" t="s">
        <v>4</v>
      </c>
      <c r="E56" s="37">
        <v>-0.973</v>
      </c>
      <c r="F56" s="35">
        <v>5.52</v>
      </c>
      <c r="G56" s="36">
        <v>-14.704</v>
      </c>
      <c r="H56" s="36">
        <v>-9.442</v>
      </c>
      <c r="I56" s="36" t="s">
        <v>6</v>
      </c>
      <c r="J56" s="37">
        <v>-1.256</v>
      </c>
      <c r="K56" s="35">
        <v>8.393</v>
      </c>
      <c r="L56" s="36">
        <v>-16.101</v>
      </c>
      <c r="M56" s="36">
        <v>4.381</v>
      </c>
      <c r="N56" s="36" t="s">
        <v>11</v>
      </c>
      <c r="O56" s="37">
        <v>-0.675</v>
      </c>
      <c r="T56" s="19"/>
      <c r="U56" s="19"/>
      <c r="V56" s="19"/>
      <c r="W56" s="19"/>
      <c r="X56" s="19"/>
      <c r="Y56" s="19"/>
      <c r="AA56" s="20"/>
      <c r="AB56" s="20"/>
      <c r="AC56" s="20"/>
    </row>
    <row r="57">
      <c r="A57" s="35">
        <v>-4.784</v>
      </c>
      <c r="B57" s="36">
        <v>0.202</v>
      </c>
      <c r="C57" s="36">
        <v>23.859</v>
      </c>
      <c r="D57" s="36" t="s">
        <v>13</v>
      </c>
      <c r="E57" s="37">
        <v>-0.971</v>
      </c>
      <c r="F57" s="35">
        <v>-0.76</v>
      </c>
      <c r="G57" s="36">
        <v>14.615</v>
      </c>
      <c r="H57" s="36">
        <v>6.054</v>
      </c>
      <c r="I57" s="36" t="s">
        <v>5</v>
      </c>
      <c r="J57" s="37">
        <v>-1.256</v>
      </c>
      <c r="K57" s="35">
        <v>8.743</v>
      </c>
      <c r="L57" s="36">
        <v>18.87</v>
      </c>
      <c r="M57" s="36">
        <v>-4.855</v>
      </c>
      <c r="N57" s="36" t="s">
        <v>2</v>
      </c>
      <c r="O57" s="37">
        <v>-0.671</v>
      </c>
      <c r="T57" s="19"/>
      <c r="U57" s="19"/>
      <c r="V57" s="19"/>
      <c r="W57" s="19"/>
      <c r="X57" s="19"/>
      <c r="Y57" s="19"/>
      <c r="AA57" s="20"/>
      <c r="AB57" s="20"/>
      <c r="AC57" s="20"/>
    </row>
    <row r="58">
      <c r="A58" s="35">
        <v>-10.54</v>
      </c>
      <c r="B58" s="36">
        <v>-14.24</v>
      </c>
      <c r="C58" s="36">
        <v>-1.901</v>
      </c>
      <c r="D58" s="36" t="s">
        <v>11</v>
      </c>
      <c r="E58" s="37">
        <v>-0.964</v>
      </c>
      <c r="F58" s="35">
        <v>7.262</v>
      </c>
      <c r="G58" s="36">
        <v>2.153</v>
      </c>
      <c r="H58" s="36">
        <v>-15.072</v>
      </c>
      <c r="I58" s="36" t="s">
        <v>4</v>
      </c>
      <c r="J58" s="37">
        <v>-1.253</v>
      </c>
      <c r="K58" s="35">
        <v>3.695</v>
      </c>
      <c r="L58" s="36">
        <v>-17.725</v>
      </c>
      <c r="M58" s="36">
        <v>4.451</v>
      </c>
      <c r="N58" s="36" t="s">
        <v>11</v>
      </c>
      <c r="O58" s="37">
        <v>-0.671</v>
      </c>
      <c r="T58" s="19"/>
      <c r="U58" s="19"/>
      <c r="V58" s="19"/>
      <c r="W58" s="19"/>
      <c r="X58" s="19"/>
      <c r="Y58" s="19"/>
      <c r="AA58" s="20"/>
      <c r="AB58" s="20"/>
      <c r="AC58" s="20"/>
    </row>
    <row r="59">
      <c r="A59" s="35">
        <v>-17.015</v>
      </c>
      <c r="B59" s="36">
        <v>-1.976</v>
      </c>
      <c r="C59" s="36">
        <v>25.637</v>
      </c>
      <c r="D59" s="36" t="s">
        <v>10</v>
      </c>
      <c r="E59" s="37">
        <v>-0.959</v>
      </c>
      <c r="F59" s="35">
        <v>-4.543</v>
      </c>
      <c r="G59" s="36">
        <v>-0.043</v>
      </c>
      <c r="H59" s="36">
        <v>24.273</v>
      </c>
      <c r="I59" s="36" t="s">
        <v>16</v>
      </c>
      <c r="J59" s="37">
        <v>-1.251</v>
      </c>
      <c r="K59" s="45">
        <v>-9.857</v>
      </c>
      <c r="L59" s="46">
        <v>-9.779</v>
      </c>
      <c r="M59" s="46">
        <v>-4.201</v>
      </c>
      <c r="N59" s="46" t="s">
        <v>7</v>
      </c>
      <c r="O59" s="47">
        <v>-0.666</v>
      </c>
      <c r="T59" s="19"/>
      <c r="U59" s="19"/>
      <c r="V59" s="19"/>
      <c r="W59" s="19"/>
      <c r="X59" s="19"/>
      <c r="Y59" s="19"/>
      <c r="AA59" s="20"/>
      <c r="AB59" s="20"/>
      <c r="AC59" s="20"/>
    </row>
    <row r="60">
      <c r="A60" s="35">
        <v>3.804</v>
      </c>
      <c r="B60" s="36">
        <v>-18.411</v>
      </c>
      <c r="C60" s="36">
        <v>4.376</v>
      </c>
      <c r="D60" s="36" t="s">
        <v>11</v>
      </c>
      <c r="E60" s="37">
        <v>-0.958</v>
      </c>
      <c r="F60" s="35">
        <v>-17.373</v>
      </c>
      <c r="G60" s="36">
        <v>1.402</v>
      </c>
      <c r="H60" s="36">
        <v>15.466</v>
      </c>
      <c r="I60" s="36" t="s">
        <v>3</v>
      </c>
      <c r="J60" s="37">
        <v>-1.25</v>
      </c>
      <c r="K60" s="45">
        <v>-10.764</v>
      </c>
      <c r="L60" s="46">
        <v>9.841</v>
      </c>
      <c r="M60" s="46">
        <v>0.467</v>
      </c>
      <c r="N60" s="46" t="s">
        <v>4</v>
      </c>
      <c r="O60" s="47">
        <v>-0.664</v>
      </c>
      <c r="T60" s="19"/>
      <c r="U60" s="19"/>
      <c r="V60" s="19"/>
      <c r="W60" s="19"/>
      <c r="X60" s="19"/>
      <c r="Y60" s="19"/>
      <c r="AA60" s="20"/>
      <c r="AB60" s="20"/>
      <c r="AC60" s="20"/>
    </row>
    <row r="61">
      <c r="A61" s="35">
        <v>-10.913</v>
      </c>
      <c r="B61" s="36">
        <v>-11.322</v>
      </c>
      <c r="C61" s="36">
        <v>-7.75</v>
      </c>
      <c r="D61" s="36" t="s">
        <v>19</v>
      </c>
      <c r="E61" s="37">
        <v>-0.953</v>
      </c>
      <c r="F61" s="35">
        <v>8.573</v>
      </c>
      <c r="G61" s="36">
        <v>-15.633</v>
      </c>
      <c r="H61" s="36">
        <v>4.598</v>
      </c>
      <c r="I61" s="36" t="s">
        <v>11</v>
      </c>
      <c r="J61" s="37">
        <v>-1.25</v>
      </c>
      <c r="K61" s="45">
        <v>-6.552</v>
      </c>
      <c r="L61" s="46">
        <v>-7.439</v>
      </c>
      <c r="M61" s="46">
        <v>5.572</v>
      </c>
      <c r="N61" s="46" t="s">
        <v>9</v>
      </c>
      <c r="O61" s="47">
        <v>-0.662</v>
      </c>
      <c r="T61" s="19"/>
      <c r="U61" s="19"/>
      <c r="V61" s="19"/>
      <c r="W61" s="19"/>
      <c r="X61" s="19"/>
      <c r="Y61" s="19"/>
      <c r="AA61" s="20"/>
      <c r="AB61" s="20"/>
      <c r="AC61" s="20"/>
    </row>
    <row r="62">
      <c r="A62" s="35">
        <v>14.105</v>
      </c>
      <c r="B62" s="36">
        <v>-9.925</v>
      </c>
      <c r="C62" s="36">
        <v>-14.3</v>
      </c>
      <c r="D62" s="36" t="s">
        <v>11</v>
      </c>
      <c r="E62" s="37">
        <v>-0.953</v>
      </c>
      <c r="F62" s="35">
        <v>14.807</v>
      </c>
      <c r="G62" s="36">
        <v>6.602</v>
      </c>
      <c r="H62" s="36">
        <v>6.166</v>
      </c>
      <c r="I62" s="36" t="s">
        <v>13</v>
      </c>
      <c r="J62" s="37">
        <v>-1.244</v>
      </c>
      <c r="K62" s="45">
        <v>-8.628</v>
      </c>
      <c r="L62" s="46">
        <v>1.978</v>
      </c>
      <c r="M62" s="46">
        <v>-17.576</v>
      </c>
      <c r="N62" s="46" t="s">
        <v>11</v>
      </c>
      <c r="O62" s="47">
        <v>-0.658</v>
      </c>
      <c r="T62" s="19"/>
      <c r="U62" s="19"/>
      <c r="V62" s="19"/>
      <c r="W62" s="19"/>
      <c r="X62" s="19"/>
      <c r="Y62" s="19"/>
      <c r="AA62" s="20"/>
      <c r="AB62" s="20"/>
      <c r="AC62" s="20"/>
    </row>
    <row r="63">
      <c r="A63" s="35">
        <v>3.857</v>
      </c>
      <c r="B63" s="36">
        <v>6.958</v>
      </c>
      <c r="C63" s="36">
        <v>18.07</v>
      </c>
      <c r="D63" s="36" t="s">
        <v>3</v>
      </c>
      <c r="E63" s="37">
        <v>-0.952</v>
      </c>
      <c r="F63" s="35">
        <v>-1.269</v>
      </c>
      <c r="G63" s="36">
        <v>15.74</v>
      </c>
      <c r="H63" s="36">
        <v>6.632</v>
      </c>
      <c r="I63" s="36" t="s">
        <v>10</v>
      </c>
      <c r="J63" s="37">
        <v>-1.244</v>
      </c>
      <c r="K63" s="35">
        <v>20.966</v>
      </c>
      <c r="L63" s="36">
        <v>2.204</v>
      </c>
      <c r="M63" s="36">
        <v>10.294</v>
      </c>
      <c r="N63" s="36" t="s">
        <v>14</v>
      </c>
      <c r="O63" s="37">
        <v>-0.656</v>
      </c>
      <c r="T63" s="19"/>
      <c r="U63" s="19"/>
      <c r="V63" s="19"/>
      <c r="W63" s="19"/>
      <c r="X63" s="19"/>
      <c r="Y63" s="19"/>
      <c r="AA63" s="20"/>
      <c r="AB63" s="20"/>
      <c r="AC63" s="20"/>
    </row>
    <row r="64">
      <c r="A64" s="35">
        <v>-17.944</v>
      </c>
      <c r="B64" s="36">
        <v>-1.062</v>
      </c>
      <c r="C64" s="36">
        <v>24.477</v>
      </c>
      <c r="D64" s="36" t="s">
        <v>9</v>
      </c>
      <c r="E64" s="37">
        <v>-0.951</v>
      </c>
      <c r="F64" s="35">
        <v>10.392</v>
      </c>
      <c r="G64" s="36">
        <v>13.848</v>
      </c>
      <c r="H64" s="36">
        <v>-1.165</v>
      </c>
      <c r="I64" s="36" t="s">
        <v>12</v>
      </c>
      <c r="J64" s="37">
        <v>-1.242</v>
      </c>
      <c r="K64" s="35">
        <v>12.111</v>
      </c>
      <c r="L64" s="36">
        <v>13.611</v>
      </c>
      <c r="M64" s="36">
        <v>-1.703</v>
      </c>
      <c r="N64" s="36" t="s">
        <v>9</v>
      </c>
      <c r="O64" s="37">
        <v>-0.654</v>
      </c>
      <c r="T64" s="19"/>
      <c r="U64" s="19"/>
      <c r="V64" s="19"/>
      <c r="W64" s="19"/>
      <c r="X64" s="19"/>
      <c r="Y64" s="19"/>
      <c r="AA64" s="20"/>
      <c r="AB64" s="20"/>
      <c r="AC64" s="20"/>
    </row>
    <row r="65">
      <c r="A65" s="35">
        <v>5.52</v>
      </c>
      <c r="B65" s="36">
        <v>-14.704</v>
      </c>
      <c r="C65" s="36">
        <v>-9.442</v>
      </c>
      <c r="D65" s="36" t="s">
        <v>6</v>
      </c>
      <c r="E65" s="37">
        <v>-0.944</v>
      </c>
      <c r="F65" s="35">
        <v>27.72</v>
      </c>
      <c r="G65" s="36">
        <v>-2.193</v>
      </c>
      <c r="H65" s="36">
        <v>-7.489</v>
      </c>
      <c r="I65" s="36" t="s">
        <v>11</v>
      </c>
      <c r="J65" s="37">
        <v>-1.242</v>
      </c>
      <c r="K65" s="35">
        <v>5.52</v>
      </c>
      <c r="L65" s="36">
        <v>-14.704</v>
      </c>
      <c r="M65" s="36">
        <v>-9.442</v>
      </c>
      <c r="N65" s="36" t="s">
        <v>6</v>
      </c>
      <c r="O65" s="37">
        <v>-0.651</v>
      </c>
      <c r="T65" s="19"/>
      <c r="U65" s="19"/>
      <c r="V65" s="19"/>
      <c r="W65" s="19"/>
      <c r="X65" s="19"/>
      <c r="Y65" s="19"/>
      <c r="AA65" s="20"/>
      <c r="AB65" s="20"/>
      <c r="AC65" s="20"/>
    </row>
    <row r="66">
      <c r="A66" s="48">
        <v>14.613</v>
      </c>
      <c r="B66" s="49">
        <v>6.07</v>
      </c>
      <c r="C66" s="49">
        <v>5.505</v>
      </c>
      <c r="D66" s="49" t="s">
        <v>13</v>
      </c>
      <c r="E66" s="50">
        <v>-0.941</v>
      </c>
      <c r="F66" s="48">
        <v>4.21</v>
      </c>
      <c r="G66" s="49">
        <v>7.096</v>
      </c>
      <c r="H66" s="49">
        <v>17.943</v>
      </c>
      <c r="I66" s="49" t="s">
        <v>3</v>
      </c>
      <c r="J66" s="50">
        <v>-1.24</v>
      </c>
      <c r="K66" s="48">
        <v>-5.1</v>
      </c>
      <c r="L66" s="49">
        <v>10.29</v>
      </c>
      <c r="M66" s="49">
        <v>12.733</v>
      </c>
      <c r="N66" s="49" t="s">
        <v>17</v>
      </c>
      <c r="O66" s="50">
        <v>-0.651</v>
      </c>
      <c r="T66" s="19"/>
      <c r="U66" s="19"/>
      <c r="V66" s="19"/>
      <c r="W66" s="19"/>
      <c r="X66" s="19"/>
      <c r="Y66" s="19"/>
      <c r="AA66" s="20"/>
      <c r="AB66" s="20"/>
      <c r="AC66" s="20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T67" s="19"/>
      <c r="U67" s="19"/>
      <c r="V67" s="19"/>
      <c r="W67" s="19"/>
      <c r="X67" s="19"/>
      <c r="Y67" s="19"/>
      <c r="AA67" s="20"/>
      <c r="AB67" s="20"/>
      <c r="AC67" s="20"/>
    </row>
    <row r="68">
      <c r="A68" s="54" t="s">
        <v>43</v>
      </c>
      <c r="B68" s="55"/>
      <c r="C68" s="56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T68" s="19"/>
      <c r="U68" s="19"/>
      <c r="V68" s="19"/>
      <c r="W68" s="19"/>
      <c r="X68" s="19"/>
      <c r="Y68" s="19"/>
      <c r="AA68" s="20"/>
      <c r="AB68" s="20"/>
      <c r="AC68" s="20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T69" s="19"/>
      <c r="U69" s="19"/>
      <c r="V69" s="19"/>
      <c r="W69" s="19"/>
      <c r="X69" s="19"/>
      <c r="Y69" s="19"/>
      <c r="AA69" s="20"/>
      <c r="AB69" s="20"/>
      <c r="AC69" s="20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T70" s="19"/>
      <c r="U70" s="19"/>
      <c r="V70" s="19"/>
      <c r="W70" s="19"/>
      <c r="X70" s="19"/>
      <c r="Y70" s="19"/>
      <c r="AA70" s="20"/>
      <c r="AB70" s="20"/>
      <c r="AC70" s="20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T71" s="19"/>
      <c r="U71" s="19"/>
      <c r="V71" s="19"/>
      <c r="W71" s="19"/>
      <c r="X71" s="19"/>
      <c r="Y71" s="19"/>
      <c r="AA71" s="20"/>
      <c r="AB71" s="20"/>
      <c r="AC71" s="20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T72" s="19"/>
      <c r="U72" s="19"/>
      <c r="V72" s="19"/>
      <c r="W72" s="19"/>
      <c r="X72" s="19"/>
      <c r="Y72" s="19"/>
      <c r="AA72" s="20"/>
      <c r="AB72" s="20"/>
      <c r="AC72" s="20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T73" s="19"/>
      <c r="U73" s="19"/>
      <c r="V73" s="19"/>
      <c r="W73" s="19"/>
      <c r="X73" s="19"/>
      <c r="Y73" s="19"/>
      <c r="AA73" s="20"/>
      <c r="AB73" s="20"/>
      <c r="AC73" s="20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T74" s="19"/>
      <c r="U74" s="19"/>
      <c r="V74" s="19"/>
      <c r="W74" s="19"/>
      <c r="X74" s="19"/>
      <c r="Y74" s="19"/>
      <c r="AA74" s="20"/>
      <c r="AB74" s="20"/>
      <c r="AC74" s="20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T75" s="19"/>
      <c r="U75" s="19"/>
      <c r="V75" s="19"/>
      <c r="W75" s="19"/>
      <c r="X75" s="19"/>
      <c r="Y75" s="19"/>
      <c r="AA75" s="20"/>
      <c r="AB75" s="20"/>
      <c r="AC75" s="20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T76" s="19"/>
      <c r="U76" s="19"/>
      <c r="V76" s="19"/>
      <c r="W76" s="19"/>
      <c r="X76" s="19"/>
      <c r="Y76" s="19"/>
      <c r="AA76" s="20"/>
      <c r="AB76" s="20"/>
      <c r="AC76" s="20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T77" s="19"/>
      <c r="U77" s="19"/>
      <c r="V77" s="19"/>
      <c r="W77" s="19"/>
      <c r="X77" s="19"/>
      <c r="Y77" s="19"/>
      <c r="AA77" s="20"/>
      <c r="AB77" s="20"/>
      <c r="AC77" s="20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T78" s="19"/>
      <c r="U78" s="19"/>
      <c r="V78" s="19"/>
      <c r="W78" s="19"/>
      <c r="X78" s="19"/>
      <c r="Y78" s="19"/>
      <c r="AA78" s="20"/>
      <c r="AB78" s="20"/>
      <c r="AC78" s="20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T79" s="19"/>
      <c r="U79" s="19"/>
      <c r="V79" s="19"/>
      <c r="W79" s="19"/>
      <c r="X79" s="19"/>
      <c r="Y79" s="19"/>
      <c r="AA79" s="20"/>
      <c r="AB79" s="20"/>
      <c r="AC79" s="20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T80" s="19"/>
      <c r="U80" s="19"/>
      <c r="V80" s="19"/>
      <c r="W80" s="19"/>
      <c r="X80" s="19"/>
      <c r="Y80" s="19"/>
      <c r="AA80" s="20"/>
      <c r="AB80" s="20"/>
      <c r="AC80" s="20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T81" s="19"/>
      <c r="U81" s="19"/>
      <c r="V81" s="19"/>
      <c r="W81" s="19"/>
      <c r="X81" s="19"/>
      <c r="Y81" s="19"/>
      <c r="AA81" s="20"/>
      <c r="AB81" s="20"/>
      <c r="AC81" s="20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T82" s="19"/>
      <c r="U82" s="19"/>
      <c r="V82" s="19"/>
      <c r="W82" s="19"/>
      <c r="X82" s="19"/>
      <c r="Y82" s="19"/>
      <c r="AA82" s="20"/>
      <c r="AB82" s="20"/>
      <c r="AC82" s="20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T83" s="19"/>
      <c r="U83" s="19"/>
      <c r="V83" s="19"/>
      <c r="W83" s="19"/>
      <c r="X83" s="19"/>
      <c r="Y83" s="19"/>
      <c r="AA83" s="20"/>
      <c r="AB83" s="20"/>
      <c r="AC83" s="20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T84" s="19"/>
      <c r="U84" s="19"/>
      <c r="V84" s="19"/>
      <c r="W84" s="19"/>
      <c r="X84" s="19"/>
      <c r="Y84" s="19"/>
      <c r="AA84" s="20"/>
      <c r="AB84" s="20"/>
      <c r="AC84" s="20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T85" s="19"/>
      <c r="U85" s="19"/>
      <c r="V85" s="19"/>
      <c r="W85" s="19"/>
      <c r="X85" s="19"/>
      <c r="Y85" s="19"/>
      <c r="AA85" s="20"/>
      <c r="AB85" s="20"/>
      <c r="AC85" s="20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T86" s="19"/>
      <c r="U86" s="19"/>
      <c r="V86" s="19"/>
      <c r="W86" s="19"/>
      <c r="X86" s="19"/>
      <c r="Y86" s="19"/>
      <c r="AA86" s="20"/>
      <c r="AB86" s="20"/>
      <c r="AC86" s="20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T87" s="19"/>
      <c r="U87" s="19"/>
      <c r="V87" s="19"/>
      <c r="W87" s="19"/>
      <c r="X87" s="19"/>
      <c r="Y87" s="19"/>
      <c r="AA87" s="20"/>
      <c r="AB87" s="20"/>
      <c r="AC87" s="20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T88" s="19"/>
      <c r="U88" s="19"/>
      <c r="V88" s="19"/>
      <c r="W88" s="19"/>
      <c r="X88" s="19"/>
      <c r="Y88" s="19"/>
      <c r="AA88" s="20"/>
      <c r="AB88" s="20"/>
      <c r="AC88" s="20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T89" s="19"/>
      <c r="U89" s="19"/>
      <c r="V89" s="19"/>
      <c r="W89" s="19"/>
      <c r="X89" s="19"/>
      <c r="Y89" s="19"/>
      <c r="AA89" s="20"/>
      <c r="AB89" s="20"/>
      <c r="AC89" s="20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T90" s="19"/>
      <c r="U90" s="19"/>
      <c r="V90" s="19"/>
      <c r="W90" s="19"/>
      <c r="X90" s="19"/>
      <c r="Y90" s="19"/>
      <c r="AA90" s="20"/>
      <c r="AB90" s="20"/>
      <c r="AC90" s="20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T91" s="19"/>
      <c r="U91" s="19"/>
      <c r="V91" s="19"/>
      <c r="W91" s="19"/>
      <c r="X91" s="19"/>
      <c r="Y91" s="19"/>
      <c r="AA91" s="20"/>
      <c r="AB91" s="20"/>
      <c r="AC91" s="20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T92" s="19"/>
      <c r="U92" s="19"/>
      <c r="V92" s="19"/>
      <c r="W92" s="19"/>
      <c r="X92" s="19"/>
      <c r="Y92" s="19"/>
      <c r="AA92" s="20"/>
      <c r="AB92" s="20"/>
      <c r="AC92" s="20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T93" s="19"/>
      <c r="U93" s="19"/>
      <c r="V93" s="19"/>
      <c r="W93" s="19"/>
      <c r="X93" s="19"/>
      <c r="Y93" s="19"/>
      <c r="AA93" s="20"/>
      <c r="AB93" s="20"/>
      <c r="AC93" s="20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T94" s="19"/>
      <c r="U94" s="19"/>
      <c r="V94" s="19"/>
      <c r="W94" s="19"/>
      <c r="X94" s="19"/>
      <c r="Y94" s="19"/>
      <c r="AA94" s="20"/>
      <c r="AB94" s="20"/>
      <c r="AC94" s="20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T95" s="19"/>
      <c r="U95" s="19"/>
      <c r="V95" s="19"/>
      <c r="W95" s="19"/>
      <c r="X95" s="19"/>
      <c r="Y95" s="19"/>
      <c r="AA95" s="20"/>
      <c r="AB95" s="20"/>
      <c r="AC95" s="20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T96" s="19"/>
      <c r="U96" s="19"/>
      <c r="V96" s="19"/>
      <c r="W96" s="19"/>
      <c r="X96" s="19"/>
      <c r="Y96" s="19"/>
      <c r="AA96" s="20"/>
      <c r="AB96" s="20"/>
      <c r="AC96" s="20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T97" s="19"/>
      <c r="U97" s="19"/>
      <c r="V97" s="19"/>
      <c r="W97" s="19"/>
      <c r="X97" s="19"/>
      <c r="Y97" s="19"/>
      <c r="AA97" s="20"/>
      <c r="AB97" s="20"/>
      <c r="AC97" s="20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T98" s="19"/>
      <c r="U98" s="19"/>
      <c r="V98" s="19"/>
      <c r="W98" s="19"/>
      <c r="X98" s="19"/>
      <c r="Y98" s="19"/>
      <c r="AA98" s="20"/>
      <c r="AB98" s="20"/>
      <c r="AC98" s="20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T99" s="19"/>
      <c r="U99" s="19"/>
      <c r="V99" s="19"/>
      <c r="W99" s="19"/>
      <c r="X99" s="19"/>
      <c r="Y99" s="19"/>
      <c r="AA99" s="20"/>
      <c r="AB99" s="20"/>
      <c r="AC99" s="20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T100" s="19"/>
      <c r="U100" s="19"/>
      <c r="V100" s="19"/>
      <c r="W100" s="19"/>
      <c r="X100" s="19"/>
      <c r="Y100" s="19"/>
      <c r="AA100" s="20"/>
      <c r="AB100" s="20"/>
      <c r="AC100" s="20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T101" s="19"/>
      <c r="U101" s="19"/>
      <c r="V101" s="19"/>
      <c r="W101" s="19"/>
      <c r="X101" s="19"/>
      <c r="Y101" s="19"/>
      <c r="AA101" s="20"/>
      <c r="AB101" s="20"/>
      <c r="AC101" s="20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T102" s="19"/>
      <c r="U102" s="19"/>
      <c r="V102" s="19"/>
      <c r="W102" s="19"/>
      <c r="X102" s="19"/>
      <c r="Y102" s="19"/>
      <c r="AA102" s="20"/>
      <c r="AB102" s="20"/>
      <c r="AC102" s="20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T103" s="19"/>
      <c r="U103" s="19"/>
      <c r="V103" s="19"/>
      <c r="W103" s="19"/>
      <c r="X103" s="19"/>
      <c r="Y103" s="19"/>
      <c r="AA103" s="20"/>
      <c r="AB103" s="20"/>
      <c r="AC103" s="20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T104" s="19"/>
      <c r="U104" s="19"/>
      <c r="V104" s="19"/>
      <c r="W104" s="19"/>
      <c r="X104" s="19"/>
      <c r="Y104" s="19"/>
      <c r="AA104" s="20"/>
      <c r="AB104" s="20"/>
      <c r="AC104" s="20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T105" s="19"/>
      <c r="U105" s="19"/>
      <c r="V105" s="19"/>
      <c r="W105" s="19"/>
      <c r="X105" s="19"/>
      <c r="Y105" s="19"/>
      <c r="AA105" s="20"/>
      <c r="AB105" s="20"/>
      <c r="AC105" s="20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T106" s="19"/>
      <c r="U106" s="19"/>
      <c r="V106" s="19"/>
      <c r="W106" s="19"/>
      <c r="X106" s="19"/>
      <c r="Y106" s="19"/>
      <c r="AA106" s="20"/>
      <c r="AB106" s="20"/>
      <c r="AC106" s="20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T107" s="19"/>
      <c r="U107" s="19"/>
      <c r="V107" s="19"/>
      <c r="W107" s="19"/>
      <c r="X107" s="19"/>
      <c r="Y107" s="19"/>
      <c r="AA107" s="20"/>
      <c r="AB107" s="20"/>
      <c r="AC107" s="20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T108" s="19"/>
      <c r="U108" s="19"/>
      <c r="V108" s="19"/>
      <c r="W108" s="19"/>
      <c r="X108" s="19"/>
      <c r="Y108" s="19"/>
      <c r="AA108" s="20"/>
      <c r="AB108" s="20"/>
      <c r="AC108" s="20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T109" s="19"/>
      <c r="U109" s="19"/>
      <c r="V109" s="19"/>
      <c r="W109" s="19"/>
      <c r="X109" s="19"/>
      <c r="Y109" s="19"/>
      <c r="AA109" s="20"/>
      <c r="AB109" s="20"/>
      <c r="AC109" s="20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T110" s="19"/>
      <c r="U110" s="19"/>
      <c r="V110" s="19"/>
      <c r="W110" s="19"/>
      <c r="X110" s="19"/>
      <c r="Y110" s="19"/>
      <c r="AA110" s="20"/>
      <c r="AB110" s="20"/>
      <c r="AC110" s="20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T111" s="19"/>
      <c r="U111" s="19"/>
      <c r="V111" s="19"/>
      <c r="W111" s="19"/>
      <c r="X111" s="19"/>
      <c r="Y111" s="19"/>
      <c r="AA111" s="20"/>
      <c r="AB111" s="20"/>
      <c r="AC111" s="20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T112" s="19"/>
      <c r="U112" s="19"/>
      <c r="V112" s="19"/>
      <c r="W112" s="19"/>
      <c r="X112" s="19"/>
      <c r="Y112" s="19"/>
      <c r="AA112" s="20"/>
      <c r="AB112" s="20"/>
      <c r="AC112" s="20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T113" s="19"/>
      <c r="U113" s="19"/>
      <c r="V113" s="19"/>
      <c r="W113" s="19"/>
      <c r="X113" s="19"/>
      <c r="Y113" s="19"/>
      <c r="AA113" s="20"/>
      <c r="AB113" s="20"/>
      <c r="AC113" s="20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T114" s="19"/>
      <c r="U114" s="19"/>
      <c r="V114" s="19"/>
      <c r="W114" s="19"/>
      <c r="X114" s="19"/>
      <c r="Y114" s="19"/>
      <c r="AA114" s="20"/>
      <c r="AB114" s="20"/>
      <c r="AC114" s="20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T115" s="19"/>
      <c r="U115" s="19"/>
      <c r="V115" s="19"/>
      <c r="W115" s="19"/>
      <c r="X115" s="19"/>
      <c r="Y115" s="19"/>
      <c r="AA115" s="20"/>
      <c r="AB115" s="20"/>
      <c r="AC115" s="20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T116" s="19"/>
      <c r="U116" s="19"/>
      <c r="V116" s="19"/>
      <c r="W116" s="19"/>
      <c r="X116" s="19"/>
      <c r="Y116" s="19"/>
      <c r="AA116" s="20"/>
      <c r="AB116" s="20"/>
      <c r="AC116" s="20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T117" s="19"/>
      <c r="U117" s="19"/>
      <c r="V117" s="19"/>
      <c r="W117" s="19"/>
      <c r="X117" s="19"/>
      <c r="Y117" s="19"/>
      <c r="AA117" s="20"/>
      <c r="AB117" s="20"/>
      <c r="AC117" s="20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T118" s="19"/>
      <c r="U118" s="19"/>
      <c r="V118" s="19"/>
      <c r="W118" s="19"/>
      <c r="X118" s="19"/>
      <c r="Y118" s="19"/>
      <c r="AA118" s="20"/>
      <c r="AB118" s="20"/>
      <c r="AC118" s="20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T119" s="19"/>
      <c r="U119" s="19"/>
      <c r="V119" s="19"/>
      <c r="W119" s="19"/>
      <c r="X119" s="19"/>
      <c r="Y119" s="19"/>
      <c r="AA119" s="20"/>
      <c r="AB119" s="20"/>
      <c r="AC119" s="20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T120" s="19"/>
      <c r="U120" s="19"/>
      <c r="V120" s="19"/>
      <c r="W120" s="19"/>
      <c r="X120" s="19"/>
      <c r="Y120" s="19"/>
      <c r="AA120" s="20"/>
      <c r="AB120" s="20"/>
      <c r="AC120" s="20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T121" s="19"/>
      <c r="U121" s="19"/>
      <c r="V121" s="19"/>
      <c r="W121" s="19"/>
      <c r="X121" s="19"/>
      <c r="Y121" s="19"/>
      <c r="AA121" s="20"/>
      <c r="AB121" s="20"/>
      <c r="AC121" s="20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T122" s="19"/>
      <c r="U122" s="19"/>
      <c r="V122" s="19"/>
      <c r="W122" s="19"/>
      <c r="X122" s="19"/>
      <c r="Y122" s="19"/>
      <c r="AA122" s="20"/>
      <c r="AB122" s="20"/>
      <c r="AC122" s="20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T123" s="19"/>
      <c r="U123" s="19"/>
      <c r="V123" s="19"/>
      <c r="W123" s="19"/>
      <c r="X123" s="19"/>
      <c r="Y123" s="19"/>
      <c r="AA123" s="20"/>
      <c r="AB123" s="20"/>
      <c r="AC123" s="20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T124" s="19"/>
      <c r="U124" s="19"/>
      <c r="V124" s="19"/>
      <c r="W124" s="19"/>
      <c r="X124" s="19"/>
      <c r="Y124" s="19"/>
      <c r="AA124" s="20"/>
      <c r="AB124" s="20"/>
      <c r="AC124" s="20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T125" s="19"/>
      <c r="U125" s="19"/>
      <c r="V125" s="19"/>
      <c r="W125" s="19"/>
      <c r="X125" s="19"/>
      <c r="Y125" s="19"/>
      <c r="AA125" s="20"/>
      <c r="AB125" s="20"/>
      <c r="AC125" s="20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T126" s="19"/>
      <c r="U126" s="19"/>
      <c r="V126" s="19"/>
      <c r="W126" s="19"/>
      <c r="X126" s="19"/>
      <c r="Y126" s="19"/>
      <c r="AA126" s="20"/>
      <c r="AB126" s="20"/>
      <c r="AC126" s="20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T127" s="19"/>
      <c r="U127" s="19"/>
      <c r="V127" s="19"/>
      <c r="W127" s="19"/>
      <c r="X127" s="19"/>
      <c r="Y127" s="19"/>
      <c r="AA127" s="20"/>
      <c r="AB127" s="20"/>
      <c r="AC127" s="20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T128" s="19"/>
      <c r="U128" s="19"/>
      <c r="V128" s="19"/>
      <c r="W128" s="19"/>
      <c r="X128" s="19"/>
      <c r="Y128" s="19"/>
      <c r="AA128" s="20"/>
      <c r="AB128" s="20"/>
      <c r="AC128" s="20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T129" s="19"/>
      <c r="U129" s="19"/>
      <c r="V129" s="19"/>
      <c r="W129" s="19"/>
      <c r="X129" s="19"/>
      <c r="Y129" s="19"/>
      <c r="AA129" s="20"/>
      <c r="AB129" s="20"/>
      <c r="AC129" s="20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T130" s="19"/>
      <c r="U130" s="19"/>
      <c r="V130" s="19"/>
      <c r="W130" s="19"/>
      <c r="X130" s="19"/>
      <c r="Y130" s="19"/>
      <c r="AA130" s="20"/>
      <c r="AB130" s="20"/>
      <c r="AC130" s="20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T131" s="19"/>
      <c r="U131" s="19"/>
      <c r="V131" s="19"/>
      <c r="W131" s="19"/>
      <c r="X131" s="19"/>
      <c r="Y131" s="19"/>
      <c r="AA131" s="20"/>
      <c r="AB131" s="20"/>
      <c r="AC131" s="20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T132" s="19"/>
      <c r="U132" s="19"/>
      <c r="V132" s="19"/>
      <c r="W132" s="19"/>
      <c r="X132" s="19"/>
      <c r="Y132" s="19"/>
      <c r="AA132" s="20"/>
      <c r="AB132" s="20"/>
      <c r="AC132" s="20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T133" s="19"/>
      <c r="U133" s="19"/>
      <c r="V133" s="19"/>
      <c r="W133" s="19"/>
      <c r="X133" s="19"/>
      <c r="Y133" s="19"/>
      <c r="AA133" s="20"/>
      <c r="AB133" s="20"/>
      <c r="AC133" s="20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T134" s="19"/>
      <c r="U134" s="19"/>
      <c r="V134" s="19"/>
      <c r="W134" s="19"/>
      <c r="X134" s="19"/>
      <c r="Y134" s="19"/>
      <c r="AA134" s="20"/>
      <c r="AB134" s="20"/>
      <c r="AC134" s="20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T135" s="19"/>
      <c r="U135" s="19"/>
      <c r="V135" s="19"/>
      <c r="W135" s="19"/>
      <c r="X135" s="19"/>
      <c r="Y135" s="19"/>
      <c r="AA135" s="20"/>
      <c r="AB135" s="20"/>
      <c r="AC135" s="20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T136" s="19"/>
      <c r="U136" s="19"/>
      <c r="V136" s="19"/>
      <c r="W136" s="19"/>
      <c r="X136" s="19"/>
      <c r="Y136" s="19"/>
      <c r="AA136" s="20"/>
      <c r="AB136" s="20"/>
      <c r="AC136" s="20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T137" s="19"/>
      <c r="U137" s="19"/>
      <c r="V137" s="19"/>
      <c r="W137" s="19"/>
      <c r="X137" s="19"/>
      <c r="Y137" s="19"/>
      <c r="AA137" s="20"/>
      <c r="AB137" s="20"/>
      <c r="AC137" s="20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T138" s="19"/>
      <c r="U138" s="19"/>
      <c r="V138" s="19"/>
      <c r="W138" s="19"/>
      <c r="X138" s="19"/>
      <c r="Y138" s="19"/>
      <c r="AA138" s="20"/>
      <c r="AB138" s="20"/>
      <c r="AC138" s="20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T139" s="19"/>
      <c r="U139" s="19"/>
      <c r="V139" s="19"/>
      <c r="W139" s="19"/>
      <c r="X139" s="19"/>
      <c r="Y139" s="19"/>
      <c r="AA139" s="20"/>
      <c r="AB139" s="20"/>
      <c r="AC139" s="20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T140" s="19"/>
      <c r="U140" s="19"/>
      <c r="V140" s="19"/>
      <c r="W140" s="19"/>
      <c r="X140" s="19"/>
      <c r="Y140" s="19"/>
      <c r="AA140" s="20"/>
      <c r="AB140" s="20"/>
      <c r="AC140" s="20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T141" s="19"/>
      <c r="U141" s="19"/>
      <c r="V141" s="19"/>
      <c r="W141" s="19"/>
      <c r="X141" s="19"/>
      <c r="Y141" s="19"/>
      <c r="AA141" s="20"/>
      <c r="AB141" s="20"/>
      <c r="AC141" s="20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T142" s="19"/>
      <c r="U142" s="19"/>
      <c r="V142" s="19"/>
      <c r="W142" s="19"/>
      <c r="X142" s="19"/>
      <c r="Y142" s="19"/>
      <c r="AA142" s="20"/>
      <c r="AB142" s="20"/>
      <c r="AC142" s="20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T143" s="19"/>
      <c r="U143" s="19"/>
      <c r="V143" s="19"/>
      <c r="W143" s="19"/>
      <c r="X143" s="19"/>
      <c r="Y143" s="19"/>
      <c r="AA143" s="20"/>
      <c r="AB143" s="20"/>
      <c r="AC143" s="20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T144" s="19"/>
      <c r="U144" s="19"/>
      <c r="V144" s="19"/>
      <c r="W144" s="19"/>
      <c r="X144" s="19"/>
      <c r="Y144" s="19"/>
      <c r="AA144" s="20"/>
      <c r="AB144" s="20"/>
      <c r="AC144" s="20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T145" s="19"/>
      <c r="U145" s="19"/>
      <c r="V145" s="19"/>
      <c r="W145" s="19"/>
      <c r="X145" s="19"/>
      <c r="Y145" s="19"/>
      <c r="AA145" s="20"/>
      <c r="AB145" s="20"/>
      <c r="AC145" s="20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T146" s="19"/>
      <c r="U146" s="19"/>
      <c r="V146" s="19"/>
      <c r="W146" s="19"/>
      <c r="X146" s="19"/>
      <c r="Y146" s="19"/>
      <c r="AA146" s="20"/>
      <c r="AB146" s="20"/>
      <c r="AC146" s="20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T147" s="19"/>
      <c r="U147" s="19"/>
      <c r="V147" s="19"/>
      <c r="W147" s="19"/>
      <c r="X147" s="19"/>
      <c r="Y147" s="19"/>
      <c r="AA147" s="20"/>
      <c r="AB147" s="20"/>
      <c r="AC147" s="20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T148" s="19"/>
      <c r="U148" s="19"/>
      <c r="V148" s="19"/>
      <c r="W148" s="19"/>
      <c r="X148" s="19"/>
      <c r="Y148" s="19"/>
      <c r="AA148" s="20"/>
      <c r="AB148" s="20"/>
      <c r="AC148" s="20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T149" s="19"/>
      <c r="U149" s="19"/>
      <c r="V149" s="19"/>
      <c r="W149" s="19"/>
      <c r="X149" s="19"/>
      <c r="Y149" s="19"/>
      <c r="AA149" s="20"/>
      <c r="AB149" s="20"/>
      <c r="AC149" s="20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T150" s="19"/>
      <c r="U150" s="19"/>
      <c r="V150" s="19"/>
      <c r="W150" s="19"/>
      <c r="X150" s="19"/>
      <c r="Y150" s="19"/>
      <c r="AA150" s="20"/>
      <c r="AB150" s="20"/>
      <c r="AC150" s="20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T151" s="19"/>
      <c r="U151" s="19"/>
      <c r="V151" s="19"/>
      <c r="W151" s="19"/>
      <c r="X151" s="19"/>
      <c r="Y151" s="19"/>
      <c r="AA151" s="20"/>
      <c r="AB151" s="20"/>
      <c r="AC151" s="20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T152" s="19"/>
      <c r="U152" s="19"/>
      <c r="V152" s="19"/>
      <c r="W152" s="19"/>
      <c r="X152" s="19"/>
      <c r="Y152" s="19"/>
      <c r="AA152" s="20"/>
      <c r="AB152" s="20"/>
      <c r="AC152" s="20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T153" s="19"/>
      <c r="U153" s="19"/>
      <c r="V153" s="19"/>
      <c r="W153" s="19"/>
      <c r="X153" s="19"/>
      <c r="Y153" s="19"/>
      <c r="AA153" s="20"/>
      <c r="AB153" s="20"/>
      <c r="AC153" s="20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T154" s="19"/>
      <c r="U154" s="19"/>
      <c r="V154" s="19"/>
      <c r="W154" s="19"/>
      <c r="X154" s="19"/>
      <c r="Y154" s="19"/>
      <c r="AA154" s="20"/>
      <c r="AB154" s="20"/>
      <c r="AC154" s="20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T155" s="19"/>
      <c r="U155" s="19"/>
      <c r="V155" s="19"/>
      <c r="W155" s="19"/>
      <c r="X155" s="19"/>
      <c r="Y155" s="19"/>
      <c r="AA155" s="20"/>
      <c r="AB155" s="20"/>
      <c r="AC155" s="20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T156" s="19"/>
      <c r="U156" s="19"/>
      <c r="V156" s="19"/>
      <c r="W156" s="19"/>
      <c r="X156" s="19"/>
      <c r="Y156" s="19"/>
      <c r="AA156" s="20"/>
      <c r="AB156" s="20"/>
      <c r="AC156" s="20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T157" s="19"/>
      <c r="U157" s="19"/>
      <c r="V157" s="19"/>
      <c r="W157" s="19"/>
      <c r="X157" s="19"/>
      <c r="Y157" s="19"/>
      <c r="AA157" s="20"/>
      <c r="AB157" s="20"/>
      <c r="AC157" s="20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T158" s="19"/>
      <c r="U158" s="19"/>
      <c r="V158" s="19"/>
      <c r="W158" s="19"/>
      <c r="X158" s="19"/>
      <c r="Y158" s="19"/>
      <c r="AA158" s="20"/>
      <c r="AB158" s="20"/>
      <c r="AC158" s="20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T159" s="19"/>
      <c r="U159" s="19"/>
      <c r="V159" s="19"/>
      <c r="W159" s="19"/>
      <c r="X159" s="19"/>
      <c r="Y159" s="19"/>
      <c r="AA159" s="20"/>
      <c r="AB159" s="20"/>
      <c r="AC159" s="20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T160" s="19"/>
      <c r="U160" s="19"/>
      <c r="V160" s="19"/>
      <c r="W160" s="19"/>
      <c r="X160" s="19"/>
      <c r="Y160" s="19"/>
      <c r="AA160" s="20"/>
      <c r="AB160" s="20"/>
      <c r="AC160" s="20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T161" s="19"/>
      <c r="U161" s="19"/>
      <c r="V161" s="19"/>
      <c r="W161" s="19"/>
      <c r="X161" s="19"/>
      <c r="Y161" s="19"/>
      <c r="AA161" s="20"/>
      <c r="AB161" s="20"/>
      <c r="AC161" s="20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T162" s="19"/>
      <c r="U162" s="19"/>
      <c r="V162" s="19"/>
      <c r="W162" s="19"/>
      <c r="X162" s="19"/>
      <c r="Y162" s="19"/>
      <c r="AA162" s="20"/>
      <c r="AB162" s="20"/>
      <c r="AC162" s="20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T163" s="19"/>
      <c r="U163" s="19"/>
      <c r="V163" s="19"/>
      <c r="W163" s="19"/>
      <c r="X163" s="19"/>
      <c r="Y163" s="19"/>
      <c r="AA163" s="20"/>
      <c r="AB163" s="20"/>
      <c r="AC163" s="20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T164" s="19"/>
      <c r="U164" s="19"/>
      <c r="V164" s="19"/>
      <c r="W164" s="19"/>
      <c r="X164" s="19"/>
      <c r="Y164" s="19"/>
      <c r="AA164" s="20"/>
      <c r="AB164" s="20"/>
      <c r="AC164" s="20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T165" s="19"/>
      <c r="U165" s="19"/>
      <c r="V165" s="19"/>
      <c r="W165" s="19"/>
      <c r="X165" s="19"/>
      <c r="Y165" s="19"/>
      <c r="AA165" s="20"/>
      <c r="AB165" s="20"/>
      <c r="AC165" s="20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T166" s="19"/>
      <c r="U166" s="19"/>
      <c r="V166" s="19"/>
      <c r="W166" s="19"/>
      <c r="X166" s="19"/>
      <c r="Y166" s="19"/>
      <c r="AA166" s="20"/>
      <c r="AB166" s="20"/>
      <c r="AC166" s="20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T167" s="19"/>
      <c r="U167" s="19"/>
      <c r="V167" s="19"/>
      <c r="W167" s="19"/>
      <c r="X167" s="19"/>
      <c r="Y167" s="19"/>
      <c r="AA167" s="20"/>
      <c r="AB167" s="20"/>
      <c r="AC167" s="20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T168" s="19"/>
      <c r="U168" s="19"/>
      <c r="V168" s="19"/>
      <c r="W168" s="19"/>
      <c r="X168" s="19"/>
      <c r="Y168" s="19"/>
      <c r="AA168" s="20"/>
      <c r="AB168" s="20"/>
      <c r="AC168" s="20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T169" s="19"/>
      <c r="U169" s="19"/>
      <c r="V169" s="19"/>
      <c r="W169" s="19"/>
      <c r="X169" s="19"/>
      <c r="Y169" s="19"/>
      <c r="AA169" s="20"/>
      <c r="AB169" s="20"/>
      <c r="AC169" s="20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T170" s="19"/>
      <c r="U170" s="19"/>
      <c r="V170" s="19"/>
      <c r="W170" s="19"/>
      <c r="X170" s="19"/>
      <c r="Y170" s="19"/>
      <c r="AA170" s="20"/>
      <c r="AB170" s="20"/>
      <c r="AC170" s="20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T171" s="19"/>
      <c r="U171" s="19"/>
      <c r="V171" s="19"/>
      <c r="W171" s="19"/>
      <c r="X171" s="19"/>
      <c r="Y171" s="19"/>
      <c r="AA171" s="20"/>
      <c r="AB171" s="20"/>
      <c r="AC171" s="20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T172" s="19"/>
      <c r="U172" s="19"/>
      <c r="V172" s="19"/>
      <c r="W172" s="19"/>
      <c r="X172" s="19"/>
      <c r="Y172" s="19"/>
      <c r="AA172" s="20"/>
      <c r="AB172" s="20"/>
      <c r="AC172" s="20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T173" s="19"/>
      <c r="U173" s="19"/>
      <c r="V173" s="19"/>
      <c r="W173" s="19"/>
      <c r="X173" s="19"/>
      <c r="Y173" s="19"/>
      <c r="AA173" s="20"/>
      <c r="AB173" s="20"/>
      <c r="AC173" s="20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T174" s="19"/>
      <c r="U174" s="19"/>
      <c r="V174" s="19"/>
      <c r="W174" s="19"/>
      <c r="X174" s="19"/>
      <c r="Y174" s="19"/>
      <c r="AA174" s="20"/>
      <c r="AB174" s="20"/>
      <c r="AC174" s="20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T175" s="19"/>
      <c r="U175" s="19"/>
      <c r="V175" s="19"/>
      <c r="W175" s="19"/>
      <c r="X175" s="19"/>
      <c r="Y175" s="19"/>
      <c r="AA175" s="20"/>
      <c r="AB175" s="20"/>
      <c r="AC175" s="20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T176" s="19"/>
      <c r="U176" s="19"/>
      <c r="V176" s="19"/>
      <c r="W176" s="19"/>
      <c r="X176" s="19"/>
      <c r="Y176" s="19"/>
      <c r="AA176" s="20"/>
      <c r="AB176" s="20"/>
      <c r="AC176" s="20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T177" s="19"/>
      <c r="U177" s="19"/>
      <c r="V177" s="19"/>
      <c r="W177" s="19"/>
      <c r="X177" s="19"/>
      <c r="Y177" s="19"/>
      <c r="AA177" s="20"/>
      <c r="AB177" s="20"/>
      <c r="AC177" s="20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T178" s="19"/>
      <c r="U178" s="19"/>
      <c r="V178" s="19"/>
      <c r="W178" s="19"/>
      <c r="X178" s="19"/>
      <c r="Y178" s="19"/>
      <c r="AA178" s="20"/>
      <c r="AB178" s="20"/>
      <c r="AC178" s="20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T179" s="19"/>
      <c r="U179" s="19"/>
      <c r="V179" s="19"/>
      <c r="W179" s="19"/>
      <c r="X179" s="19"/>
      <c r="Y179" s="19"/>
      <c r="AA179" s="20"/>
      <c r="AB179" s="20"/>
      <c r="AC179" s="20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T180" s="19"/>
      <c r="U180" s="19"/>
      <c r="V180" s="19"/>
      <c r="W180" s="19"/>
      <c r="X180" s="19"/>
      <c r="Y180" s="19"/>
      <c r="AA180" s="20"/>
      <c r="AB180" s="20"/>
      <c r="AC180" s="20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T181" s="19"/>
      <c r="U181" s="19"/>
      <c r="V181" s="19"/>
      <c r="W181" s="19"/>
      <c r="X181" s="19"/>
      <c r="Y181" s="19"/>
      <c r="AA181" s="20"/>
      <c r="AB181" s="20"/>
      <c r="AC181" s="20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T182" s="19"/>
      <c r="U182" s="19"/>
      <c r="V182" s="19"/>
      <c r="W182" s="19"/>
      <c r="X182" s="19"/>
      <c r="Y182" s="19"/>
      <c r="AA182" s="20"/>
      <c r="AB182" s="20"/>
      <c r="AC182" s="20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T183" s="19"/>
      <c r="U183" s="19"/>
      <c r="V183" s="19"/>
      <c r="W183" s="19"/>
      <c r="X183" s="19"/>
      <c r="Y183" s="19"/>
      <c r="AA183" s="20"/>
      <c r="AB183" s="20"/>
      <c r="AC183" s="20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T184" s="19"/>
      <c r="U184" s="19"/>
      <c r="V184" s="19"/>
      <c r="W184" s="19"/>
      <c r="X184" s="19"/>
      <c r="Y184" s="19"/>
      <c r="AA184" s="20"/>
      <c r="AB184" s="20"/>
      <c r="AC184" s="20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T185" s="19"/>
      <c r="U185" s="19"/>
      <c r="V185" s="19"/>
      <c r="W185" s="19"/>
      <c r="X185" s="19"/>
      <c r="Y185" s="19"/>
      <c r="AA185" s="20"/>
      <c r="AB185" s="20"/>
      <c r="AC185" s="20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T186" s="19"/>
      <c r="U186" s="19"/>
      <c r="V186" s="19"/>
      <c r="W186" s="19"/>
      <c r="X186" s="19"/>
      <c r="Y186" s="19"/>
      <c r="AA186" s="20"/>
      <c r="AB186" s="20"/>
      <c r="AC186" s="20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T187" s="19"/>
      <c r="U187" s="19"/>
      <c r="V187" s="19"/>
      <c r="W187" s="19"/>
      <c r="X187" s="19"/>
      <c r="Y187" s="19"/>
      <c r="AA187" s="20"/>
      <c r="AB187" s="20"/>
      <c r="AC187" s="20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T188" s="19"/>
      <c r="U188" s="19"/>
      <c r="V188" s="19"/>
      <c r="W188" s="19"/>
      <c r="X188" s="19"/>
      <c r="Y188" s="19"/>
      <c r="AA188" s="20"/>
      <c r="AB188" s="20"/>
      <c r="AC188" s="20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T189" s="19"/>
      <c r="U189" s="19"/>
      <c r="V189" s="19"/>
      <c r="W189" s="19"/>
      <c r="X189" s="19"/>
      <c r="Y189" s="19"/>
      <c r="AA189" s="20"/>
      <c r="AB189" s="20"/>
      <c r="AC189" s="20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T190" s="19"/>
      <c r="U190" s="19"/>
      <c r="V190" s="19"/>
      <c r="W190" s="19"/>
      <c r="X190" s="19"/>
      <c r="Y190" s="19"/>
      <c r="AA190" s="20"/>
      <c r="AB190" s="20"/>
      <c r="AC190" s="20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T191" s="19"/>
      <c r="U191" s="19"/>
      <c r="V191" s="19"/>
      <c r="W191" s="19"/>
      <c r="X191" s="19"/>
      <c r="Y191" s="19"/>
      <c r="AA191" s="20"/>
      <c r="AB191" s="20"/>
      <c r="AC191" s="20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T192" s="19"/>
      <c r="U192" s="19"/>
      <c r="V192" s="19"/>
      <c r="W192" s="19"/>
      <c r="X192" s="19"/>
      <c r="Y192" s="19"/>
      <c r="AA192" s="20"/>
      <c r="AB192" s="20"/>
      <c r="AC192" s="20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T193" s="19"/>
      <c r="U193" s="19"/>
      <c r="V193" s="19"/>
      <c r="W193" s="19"/>
      <c r="X193" s="19"/>
      <c r="Y193" s="19"/>
      <c r="AA193" s="20"/>
      <c r="AB193" s="20"/>
      <c r="AC193" s="20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T194" s="19"/>
      <c r="U194" s="19"/>
      <c r="V194" s="19"/>
      <c r="W194" s="19"/>
      <c r="X194" s="19"/>
      <c r="Y194" s="19"/>
      <c r="AA194" s="20"/>
      <c r="AB194" s="20"/>
      <c r="AC194" s="20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T195" s="19"/>
      <c r="U195" s="19"/>
      <c r="V195" s="19"/>
      <c r="W195" s="19"/>
      <c r="X195" s="19"/>
      <c r="Y195" s="19"/>
      <c r="AA195" s="20"/>
      <c r="AB195" s="20"/>
      <c r="AC195" s="20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T196" s="19"/>
      <c r="U196" s="19"/>
      <c r="V196" s="19"/>
      <c r="W196" s="19"/>
      <c r="X196" s="19"/>
      <c r="Y196" s="19"/>
      <c r="AA196" s="20"/>
      <c r="AB196" s="20"/>
      <c r="AC196" s="20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T197" s="19"/>
      <c r="U197" s="19"/>
      <c r="V197" s="19"/>
      <c r="W197" s="19"/>
      <c r="X197" s="19"/>
      <c r="Y197" s="19"/>
      <c r="AA197" s="20"/>
      <c r="AB197" s="20"/>
      <c r="AC197" s="20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T198" s="19"/>
      <c r="U198" s="19"/>
      <c r="V198" s="19"/>
      <c r="W198" s="19"/>
      <c r="X198" s="19"/>
      <c r="Y198" s="19"/>
      <c r="AA198" s="20"/>
      <c r="AB198" s="20"/>
      <c r="AC198" s="20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T199" s="19"/>
      <c r="U199" s="19"/>
      <c r="V199" s="19"/>
      <c r="W199" s="19"/>
      <c r="X199" s="19"/>
      <c r="Y199" s="19"/>
      <c r="AA199" s="20"/>
      <c r="AB199" s="20"/>
      <c r="AC199" s="20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T200" s="19"/>
      <c r="U200" s="19"/>
      <c r="V200" s="19"/>
      <c r="W200" s="19"/>
      <c r="X200" s="19"/>
      <c r="Y200" s="19"/>
      <c r="AA200" s="20"/>
      <c r="AB200" s="20"/>
      <c r="AC200" s="20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T201" s="19"/>
      <c r="U201" s="19"/>
      <c r="V201" s="19"/>
      <c r="W201" s="19"/>
      <c r="X201" s="19"/>
      <c r="Y201" s="19"/>
      <c r="AA201" s="20"/>
      <c r="AB201" s="20"/>
      <c r="AC201" s="20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T202" s="19"/>
      <c r="U202" s="19"/>
      <c r="V202" s="19"/>
      <c r="W202" s="19"/>
      <c r="X202" s="19"/>
      <c r="Y202" s="19"/>
      <c r="AA202" s="20"/>
      <c r="AB202" s="20"/>
      <c r="AC202" s="20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T203" s="19"/>
      <c r="U203" s="19"/>
      <c r="V203" s="19"/>
      <c r="W203" s="19"/>
      <c r="X203" s="19"/>
      <c r="Y203" s="19"/>
      <c r="AA203" s="20"/>
      <c r="AB203" s="20"/>
      <c r="AC203" s="20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T204" s="19"/>
      <c r="U204" s="19"/>
      <c r="V204" s="19"/>
      <c r="W204" s="19"/>
      <c r="X204" s="19"/>
      <c r="Y204" s="19"/>
      <c r="AA204" s="20"/>
      <c r="AB204" s="20"/>
      <c r="AC204" s="20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T205" s="19"/>
      <c r="U205" s="19"/>
      <c r="V205" s="19"/>
      <c r="W205" s="19"/>
      <c r="X205" s="19"/>
      <c r="Y205" s="19"/>
      <c r="AA205" s="20"/>
      <c r="AB205" s="20"/>
      <c r="AC205" s="20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T206" s="19"/>
      <c r="U206" s="19"/>
      <c r="V206" s="19"/>
      <c r="W206" s="19"/>
      <c r="X206" s="19"/>
      <c r="Y206" s="19"/>
      <c r="AA206" s="20"/>
      <c r="AB206" s="20"/>
      <c r="AC206" s="20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T207" s="19"/>
      <c r="U207" s="19"/>
      <c r="V207" s="19"/>
      <c r="W207" s="19"/>
      <c r="X207" s="19"/>
      <c r="Y207" s="19"/>
      <c r="AA207" s="20"/>
      <c r="AB207" s="20"/>
      <c r="AC207" s="20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T208" s="19"/>
      <c r="U208" s="19"/>
      <c r="V208" s="19"/>
      <c r="W208" s="19"/>
      <c r="X208" s="19"/>
      <c r="Y208" s="19"/>
      <c r="AA208" s="20"/>
      <c r="AB208" s="20"/>
      <c r="AC208" s="20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T209" s="19"/>
      <c r="U209" s="19"/>
      <c r="V209" s="19"/>
      <c r="W209" s="19"/>
      <c r="X209" s="19"/>
      <c r="Y209" s="19"/>
      <c r="AA209" s="20"/>
      <c r="AB209" s="20"/>
      <c r="AC209" s="20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T210" s="19"/>
      <c r="U210" s="19"/>
      <c r="V210" s="19"/>
      <c r="W210" s="19"/>
      <c r="X210" s="19"/>
      <c r="Y210" s="19"/>
      <c r="AA210" s="20"/>
      <c r="AB210" s="20"/>
      <c r="AC210" s="20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T211" s="19"/>
      <c r="U211" s="19"/>
      <c r="V211" s="19"/>
      <c r="W211" s="19"/>
      <c r="X211" s="19"/>
      <c r="Y211" s="19"/>
      <c r="AA211" s="20"/>
      <c r="AB211" s="20"/>
      <c r="AC211" s="20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T212" s="19"/>
      <c r="U212" s="19"/>
      <c r="V212" s="19"/>
      <c r="W212" s="19"/>
      <c r="X212" s="19"/>
      <c r="Y212" s="19"/>
      <c r="AA212" s="20"/>
      <c r="AB212" s="20"/>
      <c r="AC212" s="20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T213" s="19"/>
      <c r="U213" s="19"/>
      <c r="V213" s="19"/>
      <c r="W213" s="19"/>
      <c r="X213" s="19"/>
      <c r="Y213" s="19"/>
      <c r="AA213" s="20"/>
      <c r="AB213" s="20"/>
      <c r="AC213" s="20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T214" s="19"/>
      <c r="U214" s="19"/>
      <c r="V214" s="19"/>
      <c r="W214" s="19"/>
      <c r="X214" s="19"/>
      <c r="Y214" s="19"/>
      <c r="AA214" s="20"/>
      <c r="AB214" s="20"/>
      <c r="AC214" s="20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T215" s="19"/>
      <c r="U215" s="19"/>
      <c r="V215" s="19"/>
      <c r="W215" s="19"/>
      <c r="X215" s="19"/>
      <c r="Y215" s="19"/>
      <c r="AA215" s="20"/>
      <c r="AB215" s="20"/>
      <c r="AC215" s="20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T216" s="19"/>
      <c r="U216" s="19"/>
      <c r="V216" s="19"/>
      <c r="W216" s="19"/>
      <c r="X216" s="19"/>
      <c r="Y216" s="19"/>
      <c r="AA216" s="20"/>
      <c r="AB216" s="20"/>
      <c r="AC216" s="20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T217" s="19"/>
      <c r="U217" s="19"/>
      <c r="V217" s="19"/>
      <c r="W217" s="19"/>
      <c r="X217" s="19"/>
      <c r="Y217" s="19"/>
      <c r="AA217" s="20"/>
      <c r="AB217" s="20"/>
      <c r="AC217" s="20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T218" s="19"/>
      <c r="U218" s="19"/>
      <c r="V218" s="19"/>
      <c r="W218" s="19"/>
      <c r="X218" s="19"/>
      <c r="Y218" s="19"/>
      <c r="AA218" s="20"/>
      <c r="AB218" s="20"/>
      <c r="AC218" s="20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T219" s="19"/>
      <c r="U219" s="19"/>
      <c r="V219" s="19"/>
      <c r="W219" s="19"/>
      <c r="X219" s="19"/>
      <c r="Y219" s="19"/>
      <c r="AA219" s="20"/>
      <c r="AB219" s="20"/>
      <c r="AC219" s="20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T220" s="19"/>
      <c r="U220" s="19"/>
      <c r="V220" s="19"/>
      <c r="W220" s="19"/>
      <c r="X220" s="19"/>
      <c r="Y220" s="19"/>
      <c r="AA220" s="20"/>
      <c r="AB220" s="20"/>
      <c r="AC220" s="20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T221" s="19"/>
      <c r="U221" s="19"/>
      <c r="V221" s="19"/>
      <c r="W221" s="19"/>
      <c r="X221" s="19"/>
      <c r="Y221" s="19"/>
      <c r="AA221" s="20"/>
      <c r="AB221" s="20"/>
      <c r="AC221" s="20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T222" s="19"/>
      <c r="U222" s="19"/>
      <c r="V222" s="19"/>
      <c r="W222" s="19"/>
      <c r="X222" s="19"/>
      <c r="Y222" s="19"/>
      <c r="AA222" s="20"/>
      <c r="AB222" s="20"/>
      <c r="AC222" s="20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T223" s="19"/>
      <c r="U223" s="19"/>
      <c r="V223" s="19"/>
      <c r="W223" s="19"/>
      <c r="X223" s="19"/>
      <c r="Y223" s="19"/>
      <c r="AA223" s="20"/>
      <c r="AB223" s="20"/>
      <c r="AC223" s="20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T224" s="19"/>
      <c r="U224" s="19"/>
      <c r="V224" s="19"/>
      <c r="W224" s="19"/>
      <c r="X224" s="19"/>
      <c r="Y224" s="19"/>
      <c r="AA224" s="20"/>
      <c r="AB224" s="20"/>
      <c r="AC224" s="20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T225" s="19"/>
      <c r="U225" s="19"/>
      <c r="V225" s="19"/>
      <c r="W225" s="19"/>
      <c r="X225" s="19"/>
      <c r="Y225" s="19"/>
      <c r="AA225" s="20"/>
      <c r="AB225" s="20"/>
      <c r="AC225" s="20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T226" s="19"/>
      <c r="U226" s="19"/>
      <c r="V226" s="19"/>
      <c r="W226" s="19"/>
      <c r="X226" s="19"/>
      <c r="Y226" s="19"/>
      <c r="AA226" s="20"/>
      <c r="AB226" s="20"/>
      <c r="AC226" s="20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T227" s="19"/>
      <c r="U227" s="19"/>
      <c r="V227" s="19"/>
      <c r="W227" s="19"/>
      <c r="X227" s="19"/>
      <c r="Y227" s="19"/>
      <c r="AA227" s="20"/>
      <c r="AB227" s="20"/>
      <c r="AC227" s="20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T228" s="19"/>
      <c r="U228" s="19"/>
      <c r="V228" s="19"/>
      <c r="W228" s="19"/>
      <c r="X228" s="19"/>
      <c r="Y228" s="19"/>
      <c r="AA228" s="20"/>
      <c r="AB228" s="20"/>
      <c r="AC228" s="20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T229" s="19"/>
      <c r="U229" s="19"/>
      <c r="V229" s="19"/>
      <c r="W229" s="19"/>
      <c r="X229" s="19"/>
      <c r="Y229" s="19"/>
      <c r="AA229" s="20"/>
      <c r="AB229" s="20"/>
      <c r="AC229" s="20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T230" s="19"/>
      <c r="U230" s="19"/>
      <c r="V230" s="19"/>
      <c r="W230" s="19"/>
      <c r="X230" s="19"/>
      <c r="Y230" s="19"/>
      <c r="AA230" s="20"/>
      <c r="AB230" s="20"/>
      <c r="AC230" s="20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T231" s="19"/>
      <c r="U231" s="19"/>
      <c r="V231" s="19"/>
      <c r="W231" s="19"/>
      <c r="X231" s="19"/>
      <c r="Y231" s="19"/>
      <c r="AA231" s="20"/>
      <c r="AB231" s="20"/>
      <c r="AC231" s="20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T232" s="19"/>
      <c r="U232" s="19"/>
      <c r="V232" s="19"/>
      <c r="W232" s="19"/>
      <c r="X232" s="19"/>
      <c r="Y232" s="19"/>
      <c r="AA232" s="20"/>
      <c r="AB232" s="20"/>
      <c r="AC232" s="20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T233" s="19"/>
      <c r="U233" s="19"/>
      <c r="V233" s="19"/>
      <c r="W233" s="19"/>
      <c r="X233" s="19"/>
      <c r="Y233" s="19"/>
      <c r="AA233" s="20"/>
      <c r="AB233" s="20"/>
      <c r="AC233" s="20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T234" s="19"/>
      <c r="U234" s="19"/>
      <c r="V234" s="19"/>
      <c r="W234" s="19"/>
      <c r="X234" s="19"/>
      <c r="Y234" s="19"/>
      <c r="AA234" s="20"/>
      <c r="AB234" s="20"/>
      <c r="AC234" s="20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T235" s="19"/>
      <c r="U235" s="19"/>
      <c r="V235" s="19"/>
      <c r="W235" s="19"/>
      <c r="X235" s="19"/>
      <c r="Y235" s="19"/>
      <c r="AA235" s="20"/>
      <c r="AB235" s="20"/>
      <c r="AC235" s="20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T236" s="19"/>
      <c r="U236" s="19"/>
      <c r="V236" s="19"/>
      <c r="W236" s="19"/>
      <c r="X236" s="19"/>
      <c r="Y236" s="19"/>
      <c r="AA236" s="20"/>
      <c r="AB236" s="20"/>
      <c r="AC236" s="20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T237" s="19"/>
      <c r="U237" s="19"/>
      <c r="V237" s="19"/>
      <c r="W237" s="19"/>
      <c r="X237" s="19"/>
      <c r="Y237" s="19"/>
      <c r="AA237" s="20"/>
      <c r="AB237" s="20"/>
      <c r="AC237" s="20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T238" s="19"/>
      <c r="U238" s="19"/>
      <c r="V238" s="19"/>
      <c r="W238" s="19"/>
      <c r="X238" s="19"/>
      <c r="Y238" s="19"/>
      <c r="AA238" s="20"/>
      <c r="AB238" s="20"/>
      <c r="AC238" s="20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T239" s="19"/>
      <c r="U239" s="19"/>
      <c r="V239" s="19"/>
      <c r="W239" s="19"/>
      <c r="X239" s="19"/>
      <c r="Y239" s="19"/>
      <c r="AA239" s="20"/>
      <c r="AB239" s="20"/>
      <c r="AC239" s="20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T240" s="19"/>
      <c r="U240" s="19"/>
      <c r="V240" s="19"/>
      <c r="W240" s="19"/>
      <c r="X240" s="19"/>
      <c r="Y240" s="19"/>
      <c r="AA240" s="20"/>
      <c r="AB240" s="20"/>
      <c r="AC240" s="20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T241" s="19"/>
      <c r="U241" s="19"/>
      <c r="V241" s="19"/>
      <c r="W241" s="19"/>
      <c r="X241" s="19"/>
      <c r="Y241" s="19"/>
      <c r="AA241" s="20"/>
      <c r="AB241" s="20"/>
      <c r="AC241" s="20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T242" s="19"/>
      <c r="U242" s="19"/>
      <c r="V242" s="19"/>
      <c r="W242" s="19"/>
      <c r="X242" s="19"/>
      <c r="Y242" s="19"/>
      <c r="AA242" s="20"/>
      <c r="AB242" s="20"/>
      <c r="AC242" s="20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T243" s="19"/>
      <c r="U243" s="19"/>
      <c r="V243" s="19"/>
      <c r="W243" s="19"/>
      <c r="X243" s="19"/>
      <c r="Y243" s="19"/>
      <c r="AA243" s="20"/>
      <c r="AB243" s="20"/>
      <c r="AC243" s="20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T244" s="19"/>
      <c r="U244" s="19"/>
      <c r="V244" s="19"/>
      <c r="W244" s="19"/>
      <c r="X244" s="19"/>
      <c r="Y244" s="19"/>
      <c r="AA244" s="20"/>
      <c r="AB244" s="20"/>
      <c r="AC244" s="20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T245" s="19"/>
      <c r="U245" s="19"/>
      <c r="V245" s="19"/>
      <c r="W245" s="19"/>
      <c r="X245" s="19"/>
      <c r="Y245" s="19"/>
      <c r="AA245" s="20"/>
      <c r="AB245" s="20"/>
      <c r="AC245" s="20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T246" s="19"/>
      <c r="U246" s="19"/>
      <c r="V246" s="19"/>
      <c r="W246" s="19"/>
      <c r="X246" s="19"/>
      <c r="Y246" s="19"/>
      <c r="AA246" s="20"/>
      <c r="AB246" s="20"/>
      <c r="AC246" s="20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T247" s="19"/>
      <c r="U247" s="19"/>
      <c r="V247" s="19"/>
      <c r="W247" s="19"/>
      <c r="X247" s="19"/>
      <c r="Y247" s="19"/>
      <c r="AA247" s="20"/>
      <c r="AB247" s="20"/>
      <c r="AC247" s="20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T248" s="19"/>
      <c r="U248" s="19"/>
      <c r="V248" s="19"/>
      <c r="W248" s="19"/>
      <c r="X248" s="19"/>
      <c r="Y248" s="19"/>
      <c r="AA248" s="20"/>
      <c r="AB248" s="20"/>
      <c r="AC248" s="20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T249" s="19"/>
      <c r="U249" s="19"/>
      <c r="V249" s="19"/>
      <c r="W249" s="19"/>
      <c r="X249" s="19"/>
      <c r="Y249" s="19"/>
      <c r="AA249" s="20"/>
      <c r="AB249" s="20"/>
      <c r="AC249" s="20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T250" s="19"/>
      <c r="U250" s="19"/>
      <c r="V250" s="19"/>
      <c r="W250" s="19"/>
      <c r="X250" s="19"/>
      <c r="Y250" s="19"/>
      <c r="AA250" s="20"/>
      <c r="AB250" s="20"/>
      <c r="AC250" s="20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T251" s="19"/>
      <c r="U251" s="19"/>
      <c r="V251" s="19"/>
      <c r="W251" s="19"/>
      <c r="X251" s="19"/>
      <c r="Y251" s="19"/>
      <c r="AA251" s="20"/>
      <c r="AB251" s="20"/>
      <c r="AC251" s="20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T252" s="19"/>
      <c r="U252" s="19"/>
      <c r="V252" s="19"/>
      <c r="W252" s="19"/>
      <c r="X252" s="19"/>
      <c r="Y252" s="19"/>
      <c r="AA252" s="20"/>
      <c r="AB252" s="20"/>
      <c r="AC252" s="20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T253" s="19"/>
      <c r="U253" s="19"/>
      <c r="V253" s="19"/>
      <c r="W253" s="19"/>
      <c r="X253" s="19"/>
      <c r="Y253" s="19"/>
      <c r="AA253" s="20"/>
      <c r="AB253" s="20"/>
      <c r="AC253" s="20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T254" s="19"/>
      <c r="U254" s="19"/>
      <c r="V254" s="19"/>
      <c r="W254" s="19"/>
      <c r="X254" s="19"/>
      <c r="Y254" s="19"/>
      <c r="AA254" s="20"/>
      <c r="AB254" s="20"/>
      <c r="AC254" s="20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T255" s="19"/>
      <c r="U255" s="19"/>
      <c r="V255" s="19"/>
      <c r="W255" s="19"/>
      <c r="X255" s="19"/>
      <c r="Y255" s="19"/>
      <c r="AA255" s="20"/>
      <c r="AB255" s="20"/>
      <c r="AC255" s="20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T256" s="19"/>
      <c r="U256" s="19"/>
      <c r="V256" s="19"/>
      <c r="W256" s="19"/>
      <c r="X256" s="19"/>
      <c r="Y256" s="19"/>
      <c r="AA256" s="20"/>
      <c r="AB256" s="20"/>
      <c r="AC256" s="20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T257" s="19"/>
      <c r="U257" s="19"/>
      <c r="V257" s="19"/>
      <c r="W257" s="19"/>
      <c r="X257" s="19"/>
      <c r="Y257" s="19"/>
      <c r="AA257" s="20"/>
      <c r="AB257" s="20"/>
      <c r="AC257" s="20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T258" s="19"/>
      <c r="U258" s="19"/>
      <c r="V258" s="19"/>
      <c r="W258" s="19"/>
      <c r="X258" s="19"/>
      <c r="Y258" s="19"/>
      <c r="AA258" s="20"/>
      <c r="AB258" s="20"/>
      <c r="AC258" s="20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T259" s="19"/>
      <c r="U259" s="19"/>
      <c r="V259" s="19"/>
      <c r="W259" s="19"/>
      <c r="X259" s="19"/>
      <c r="Y259" s="19"/>
      <c r="AA259" s="20"/>
      <c r="AB259" s="20"/>
      <c r="AC259" s="20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T260" s="19"/>
      <c r="U260" s="19"/>
      <c r="V260" s="19"/>
      <c r="W260" s="19"/>
      <c r="X260" s="19"/>
      <c r="Y260" s="19"/>
      <c r="AA260" s="20"/>
      <c r="AB260" s="20"/>
      <c r="AC260" s="20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T261" s="19"/>
      <c r="U261" s="19"/>
      <c r="V261" s="19"/>
      <c r="W261" s="19"/>
      <c r="X261" s="19"/>
      <c r="Y261" s="19"/>
      <c r="AA261" s="20"/>
      <c r="AB261" s="20"/>
      <c r="AC261" s="20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T262" s="19"/>
      <c r="U262" s="19"/>
      <c r="V262" s="19"/>
      <c r="W262" s="19"/>
      <c r="X262" s="19"/>
      <c r="Y262" s="19"/>
      <c r="AA262" s="20"/>
      <c r="AB262" s="20"/>
      <c r="AC262" s="20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T263" s="19"/>
      <c r="U263" s="19"/>
      <c r="V263" s="19"/>
      <c r="W263" s="19"/>
      <c r="X263" s="19"/>
      <c r="Y263" s="19"/>
      <c r="AA263" s="20"/>
      <c r="AB263" s="20"/>
      <c r="AC263" s="20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T264" s="19"/>
      <c r="U264" s="19"/>
      <c r="V264" s="19"/>
      <c r="W264" s="19"/>
      <c r="X264" s="19"/>
      <c r="Y264" s="19"/>
      <c r="AA264" s="20"/>
      <c r="AB264" s="20"/>
      <c r="AC264" s="20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T265" s="19"/>
      <c r="U265" s="19"/>
      <c r="V265" s="19"/>
      <c r="W265" s="19"/>
      <c r="X265" s="19"/>
      <c r="Y265" s="19"/>
      <c r="AA265" s="20"/>
      <c r="AB265" s="20"/>
      <c r="AC265" s="20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T266" s="19"/>
      <c r="U266" s="19"/>
      <c r="V266" s="19"/>
      <c r="W266" s="19"/>
      <c r="X266" s="19"/>
      <c r="Y266" s="19"/>
      <c r="AA266" s="20"/>
      <c r="AB266" s="20"/>
      <c r="AC266" s="20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T267" s="19"/>
      <c r="U267" s="19"/>
      <c r="V267" s="19"/>
      <c r="W267" s="19"/>
      <c r="X267" s="19"/>
      <c r="Y267" s="19"/>
      <c r="AA267" s="20"/>
      <c r="AB267" s="20"/>
      <c r="AC267" s="20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T268" s="19"/>
      <c r="U268" s="19"/>
      <c r="V268" s="19"/>
      <c r="W268" s="19"/>
      <c r="X268" s="19"/>
      <c r="Y268" s="19"/>
      <c r="AA268" s="20"/>
      <c r="AB268" s="20"/>
      <c r="AC268" s="20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T269" s="19"/>
      <c r="U269" s="19"/>
      <c r="V269" s="19"/>
      <c r="W269" s="19"/>
      <c r="X269" s="19"/>
      <c r="Y269" s="19"/>
      <c r="AA269" s="20"/>
      <c r="AB269" s="20"/>
      <c r="AC269" s="20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T270" s="19"/>
      <c r="U270" s="19"/>
      <c r="V270" s="19"/>
      <c r="W270" s="19"/>
      <c r="X270" s="19"/>
      <c r="Y270" s="19"/>
      <c r="AA270" s="20"/>
      <c r="AB270" s="20"/>
      <c r="AC270" s="20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T271" s="19"/>
      <c r="U271" s="19"/>
      <c r="V271" s="19"/>
      <c r="W271" s="19"/>
      <c r="X271" s="19"/>
      <c r="Y271" s="19"/>
      <c r="AA271" s="20"/>
      <c r="AB271" s="20"/>
      <c r="AC271" s="20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T272" s="19"/>
      <c r="U272" s="19"/>
      <c r="V272" s="19"/>
      <c r="W272" s="19"/>
      <c r="X272" s="19"/>
      <c r="Y272" s="19"/>
      <c r="AA272" s="20"/>
      <c r="AB272" s="20"/>
      <c r="AC272" s="20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T273" s="19"/>
      <c r="U273" s="19"/>
      <c r="V273" s="19"/>
      <c r="W273" s="19"/>
      <c r="X273" s="19"/>
      <c r="Y273" s="19"/>
      <c r="AA273" s="20"/>
      <c r="AB273" s="20"/>
      <c r="AC273" s="20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T274" s="19"/>
      <c r="U274" s="19"/>
      <c r="V274" s="19"/>
      <c r="W274" s="19"/>
      <c r="X274" s="19"/>
      <c r="Y274" s="19"/>
      <c r="AA274" s="20"/>
      <c r="AB274" s="20"/>
      <c r="AC274" s="20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T275" s="19"/>
      <c r="U275" s="19"/>
      <c r="V275" s="19"/>
      <c r="W275" s="19"/>
      <c r="X275" s="19"/>
      <c r="Y275" s="19"/>
      <c r="AA275" s="20"/>
      <c r="AB275" s="20"/>
      <c r="AC275" s="20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T276" s="19"/>
      <c r="U276" s="19"/>
      <c r="V276" s="19"/>
      <c r="W276" s="19"/>
      <c r="X276" s="19"/>
      <c r="Y276" s="19"/>
      <c r="AA276" s="20"/>
      <c r="AB276" s="20"/>
      <c r="AC276" s="20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T277" s="19"/>
      <c r="U277" s="19"/>
      <c r="V277" s="19"/>
      <c r="W277" s="19"/>
      <c r="X277" s="19"/>
      <c r="Y277" s="19"/>
      <c r="AA277" s="20"/>
      <c r="AB277" s="20"/>
      <c r="AC277" s="20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T278" s="19"/>
      <c r="U278" s="19"/>
      <c r="V278" s="19"/>
      <c r="W278" s="19"/>
      <c r="X278" s="19"/>
      <c r="Y278" s="19"/>
      <c r="AA278" s="20"/>
      <c r="AB278" s="20"/>
      <c r="AC278" s="20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T279" s="19"/>
      <c r="U279" s="19"/>
      <c r="V279" s="19"/>
      <c r="W279" s="19"/>
      <c r="X279" s="19"/>
      <c r="Y279" s="19"/>
      <c r="AA279" s="20"/>
      <c r="AB279" s="20"/>
      <c r="AC279" s="20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T280" s="19"/>
      <c r="U280" s="19"/>
      <c r="V280" s="19"/>
      <c r="W280" s="19"/>
      <c r="X280" s="19"/>
      <c r="Y280" s="19"/>
      <c r="AA280" s="20"/>
      <c r="AB280" s="20"/>
      <c r="AC280" s="20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T281" s="19"/>
      <c r="U281" s="19"/>
      <c r="V281" s="19"/>
      <c r="W281" s="19"/>
      <c r="X281" s="19"/>
      <c r="Y281" s="19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T282" s="19"/>
      <c r="U282" s="19"/>
      <c r="V282" s="19"/>
      <c r="W282" s="19"/>
      <c r="X282" s="19"/>
      <c r="Y282" s="19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T283" s="19"/>
      <c r="U283" s="19"/>
      <c r="V283" s="19"/>
      <c r="W283" s="19"/>
      <c r="X283" s="19"/>
      <c r="Y283" s="19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T284" s="19"/>
      <c r="U284" s="19"/>
      <c r="V284" s="19"/>
      <c r="W284" s="19"/>
      <c r="X284" s="19"/>
      <c r="Y284" s="19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T285" s="19"/>
      <c r="U285" s="19"/>
      <c r="V285" s="19"/>
      <c r="W285" s="19"/>
      <c r="X285" s="19"/>
      <c r="Y285" s="19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T286" s="19"/>
      <c r="U286" s="19"/>
      <c r="V286" s="19"/>
      <c r="W286" s="19"/>
      <c r="X286" s="19"/>
      <c r="Y286" s="19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T287" s="19"/>
      <c r="U287" s="19"/>
      <c r="V287" s="19"/>
      <c r="W287" s="19"/>
      <c r="X287" s="19"/>
      <c r="Y287" s="19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T288" s="19"/>
      <c r="U288" s="19"/>
      <c r="V288" s="19"/>
      <c r="W288" s="19"/>
      <c r="X288" s="19"/>
      <c r="Y288" s="19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T289" s="19"/>
      <c r="U289" s="19"/>
      <c r="V289" s="19"/>
      <c r="W289" s="19"/>
      <c r="X289" s="19"/>
      <c r="Y289" s="19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T290" s="19"/>
      <c r="U290" s="19"/>
      <c r="V290" s="19"/>
      <c r="W290" s="19"/>
      <c r="X290" s="19"/>
      <c r="Y290" s="19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T291" s="19"/>
      <c r="U291" s="19"/>
      <c r="V291" s="19"/>
      <c r="W291" s="19"/>
      <c r="X291" s="19"/>
      <c r="Y291" s="19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T292" s="19"/>
      <c r="U292" s="19"/>
      <c r="V292" s="19"/>
      <c r="W292" s="19"/>
      <c r="X292" s="19"/>
      <c r="Y292" s="19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T293" s="19"/>
      <c r="U293" s="19"/>
      <c r="V293" s="19"/>
      <c r="W293" s="19"/>
      <c r="X293" s="19"/>
      <c r="Y293" s="19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T294" s="19"/>
      <c r="U294" s="19"/>
      <c r="V294" s="19"/>
      <c r="W294" s="19"/>
      <c r="X294" s="19"/>
      <c r="Y294" s="19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T295" s="19"/>
      <c r="U295" s="19"/>
      <c r="V295" s="19"/>
      <c r="W295" s="19"/>
      <c r="X295" s="19"/>
      <c r="Y295" s="19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T296" s="19"/>
      <c r="U296" s="19"/>
      <c r="V296" s="19"/>
      <c r="W296" s="19"/>
      <c r="X296" s="19"/>
      <c r="Y296" s="19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T297" s="19"/>
      <c r="U297" s="19"/>
      <c r="V297" s="19"/>
      <c r="W297" s="19"/>
      <c r="X297" s="19"/>
      <c r="Y297" s="19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T298" s="19"/>
      <c r="U298" s="19"/>
      <c r="V298" s="19"/>
      <c r="W298" s="19"/>
      <c r="X298" s="19"/>
      <c r="Y298" s="19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T299" s="19"/>
      <c r="U299" s="19"/>
      <c r="V299" s="19"/>
      <c r="W299" s="19"/>
      <c r="X299" s="19"/>
      <c r="Y299" s="19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T300" s="19"/>
      <c r="U300" s="19"/>
      <c r="V300" s="19"/>
      <c r="W300" s="19"/>
      <c r="X300" s="19"/>
      <c r="Y300" s="19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T301" s="19"/>
      <c r="U301" s="19"/>
      <c r="V301" s="19"/>
      <c r="W301" s="19"/>
      <c r="X301" s="19"/>
      <c r="Y301" s="19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T302" s="19"/>
      <c r="U302" s="19"/>
      <c r="V302" s="19"/>
      <c r="W302" s="19"/>
      <c r="X302" s="19"/>
      <c r="Y302" s="19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T303" s="19"/>
      <c r="U303" s="19"/>
      <c r="V303" s="19"/>
      <c r="W303" s="19"/>
      <c r="X303" s="19"/>
      <c r="Y303" s="19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T304" s="19"/>
      <c r="U304" s="19"/>
      <c r="V304" s="19"/>
      <c r="W304" s="19"/>
      <c r="X304" s="19"/>
      <c r="Y304" s="19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T305" s="19"/>
      <c r="U305" s="19"/>
      <c r="V305" s="19"/>
      <c r="W305" s="19"/>
      <c r="X305" s="19"/>
      <c r="Y305" s="19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T306" s="19"/>
      <c r="U306" s="19"/>
      <c r="V306" s="19"/>
      <c r="W306" s="19"/>
      <c r="X306" s="19"/>
      <c r="Y306" s="19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T307" s="19"/>
      <c r="U307" s="19"/>
      <c r="V307" s="19"/>
      <c r="W307" s="19"/>
      <c r="X307" s="19"/>
      <c r="Y307" s="19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T308" s="19"/>
      <c r="U308" s="19"/>
      <c r="V308" s="19"/>
      <c r="W308" s="19"/>
      <c r="X308" s="19"/>
      <c r="Y308" s="19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T309" s="19"/>
      <c r="U309" s="19"/>
      <c r="V309" s="19"/>
      <c r="W309" s="19"/>
      <c r="X309" s="19"/>
      <c r="Y309" s="19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T310" s="19"/>
      <c r="U310" s="19"/>
      <c r="V310" s="19"/>
      <c r="W310" s="19"/>
      <c r="X310" s="19"/>
      <c r="Y310" s="19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T311" s="19"/>
      <c r="U311" s="19"/>
      <c r="V311" s="19"/>
      <c r="W311" s="19"/>
      <c r="X311" s="19"/>
      <c r="Y311" s="19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T312" s="19"/>
      <c r="U312" s="19"/>
      <c r="V312" s="19"/>
      <c r="W312" s="19"/>
      <c r="X312" s="19"/>
      <c r="Y312" s="19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T313" s="19"/>
      <c r="U313" s="19"/>
      <c r="V313" s="19"/>
      <c r="W313" s="19"/>
      <c r="X313" s="19"/>
      <c r="Y313" s="19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T314" s="19"/>
      <c r="U314" s="19"/>
      <c r="V314" s="19"/>
      <c r="W314" s="19"/>
      <c r="X314" s="19"/>
      <c r="Y314" s="19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T315" s="19"/>
      <c r="U315" s="19"/>
      <c r="V315" s="19"/>
      <c r="W315" s="19"/>
      <c r="X315" s="19"/>
      <c r="Y315" s="19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T316" s="19"/>
      <c r="U316" s="19"/>
      <c r="V316" s="19"/>
      <c r="W316" s="19"/>
      <c r="X316" s="19"/>
      <c r="Y316" s="19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T317" s="19"/>
      <c r="U317" s="19"/>
      <c r="V317" s="19"/>
      <c r="W317" s="19"/>
      <c r="X317" s="19"/>
      <c r="Y317" s="19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T318" s="19"/>
      <c r="U318" s="19"/>
      <c r="V318" s="19"/>
      <c r="W318" s="19"/>
      <c r="X318" s="19"/>
      <c r="Y318" s="19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T319" s="19"/>
      <c r="U319" s="19"/>
      <c r="V319" s="19"/>
      <c r="W319" s="19"/>
      <c r="X319" s="19"/>
      <c r="Y319" s="19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T320" s="19"/>
      <c r="U320" s="19"/>
      <c r="V320" s="19"/>
      <c r="W320" s="19"/>
      <c r="X320" s="19"/>
      <c r="Y320" s="19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T321" s="19"/>
      <c r="U321" s="19"/>
      <c r="V321" s="19"/>
      <c r="W321" s="19"/>
      <c r="X321" s="19"/>
      <c r="Y321" s="19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T322" s="19"/>
      <c r="U322" s="19"/>
      <c r="V322" s="19"/>
      <c r="W322" s="19"/>
      <c r="X322" s="19"/>
      <c r="Y322" s="19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T323" s="19"/>
      <c r="U323" s="19"/>
      <c r="V323" s="19"/>
      <c r="W323" s="19"/>
      <c r="X323" s="19"/>
      <c r="Y323" s="19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T324" s="19"/>
      <c r="U324" s="19"/>
      <c r="V324" s="19"/>
      <c r="W324" s="19"/>
      <c r="X324" s="19"/>
      <c r="Y324" s="19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T325" s="19"/>
      <c r="U325" s="19"/>
      <c r="V325" s="19"/>
      <c r="W325" s="19"/>
      <c r="X325" s="19"/>
      <c r="Y325" s="19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T326" s="19"/>
      <c r="U326" s="19"/>
      <c r="V326" s="19"/>
      <c r="W326" s="19"/>
      <c r="X326" s="19"/>
      <c r="Y326" s="19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T327" s="19"/>
      <c r="U327" s="19"/>
      <c r="V327" s="19"/>
      <c r="W327" s="19"/>
      <c r="X327" s="19"/>
      <c r="Y327" s="19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T328" s="19"/>
      <c r="U328" s="19"/>
      <c r="V328" s="19"/>
      <c r="W328" s="19"/>
      <c r="X328" s="19"/>
      <c r="Y328" s="19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T329" s="19"/>
      <c r="U329" s="19"/>
      <c r="V329" s="19"/>
      <c r="W329" s="19"/>
      <c r="X329" s="19"/>
      <c r="Y329" s="19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T330" s="19"/>
      <c r="U330" s="19"/>
      <c r="V330" s="19"/>
      <c r="W330" s="19"/>
      <c r="X330" s="19"/>
      <c r="Y330" s="19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T331" s="19"/>
      <c r="U331" s="19"/>
      <c r="V331" s="19"/>
      <c r="W331" s="19"/>
      <c r="X331" s="19"/>
      <c r="Y331" s="19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T332" s="19"/>
      <c r="U332" s="19"/>
      <c r="V332" s="19"/>
      <c r="W332" s="19"/>
      <c r="X332" s="19"/>
      <c r="Y332" s="19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T333" s="19"/>
      <c r="U333" s="19"/>
      <c r="V333" s="19"/>
      <c r="W333" s="19"/>
      <c r="X333" s="19"/>
      <c r="Y333" s="19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T334" s="19"/>
      <c r="U334" s="19"/>
      <c r="V334" s="19"/>
      <c r="W334" s="19"/>
      <c r="X334" s="19"/>
      <c r="Y334" s="19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T335" s="19"/>
      <c r="U335" s="19"/>
      <c r="V335" s="19"/>
      <c r="W335" s="19"/>
      <c r="X335" s="19"/>
      <c r="Y335" s="19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T336" s="19"/>
      <c r="U336" s="19"/>
      <c r="V336" s="19"/>
      <c r="W336" s="19"/>
      <c r="X336" s="19"/>
      <c r="Y336" s="19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T337" s="19"/>
      <c r="U337" s="19"/>
      <c r="V337" s="19"/>
      <c r="W337" s="19"/>
      <c r="X337" s="19"/>
      <c r="Y337" s="19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T338" s="19"/>
      <c r="U338" s="19"/>
      <c r="V338" s="19"/>
      <c r="W338" s="19"/>
      <c r="X338" s="19"/>
      <c r="Y338" s="19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T339" s="19"/>
      <c r="U339" s="19"/>
      <c r="V339" s="19"/>
      <c r="W339" s="19"/>
      <c r="X339" s="19"/>
      <c r="Y339" s="19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T340" s="19"/>
      <c r="U340" s="19"/>
      <c r="V340" s="19"/>
      <c r="W340" s="19"/>
      <c r="X340" s="19"/>
      <c r="Y340" s="19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T341" s="19"/>
      <c r="U341" s="19"/>
      <c r="V341" s="19"/>
      <c r="W341" s="19"/>
      <c r="X341" s="19"/>
      <c r="Y341" s="19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T342" s="19"/>
      <c r="U342" s="19"/>
      <c r="V342" s="19"/>
      <c r="W342" s="19"/>
      <c r="X342" s="19"/>
      <c r="Y342" s="19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T343" s="19"/>
      <c r="U343" s="19"/>
      <c r="V343" s="19"/>
      <c r="W343" s="19"/>
      <c r="X343" s="19"/>
      <c r="Y343" s="19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T344" s="19"/>
      <c r="U344" s="19"/>
      <c r="V344" s="19"/>
      <c r="W344" s="19"/>
      <c r="X344" s="19"/>
      <c r="Y344" s="19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T345" s="19"/>
      <c r="U345" s="19"/>
      <c r="V345" s="19"/>
      <c r="W345" s="19"/>
      <c r="X345" s="19"/>
      <c r="Y345" s="19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T346" s="19"/>
      <c r="U346" s="19"/>
      <c r="V346" s="19"/>
      <c r="W346" s="19"/>
      <c r="X346" s="19"/>
      <c r="Y346" s="19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T347" s="19"/>
      <c r="U347" s="19"/>
      <c r="V347" s="19"/>
      <c r="W347" s="19"/>
      <c r="X347" s="19"/>
      <c r="Y347" s="19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T348" s="19"/>
      <c r="U348" s="19"/>
      <c r="V348" s="19"/>
      <c r="W348" s="19"/>
      <c r="X348" s="19"/>
      <c r="Y348" s="19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T349" s="19"/>
      <c r="U349" s="19"/>
      <c r="V349" s="19"/>
      <c r="W349" s="19"/>
      <c r="X349" s="19"/>
      <c r="Y349" s="19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T350" s="19"/>
      <c r="U350" s="19"/>
      <c r="V350" s="19"/>
      <c r="W350" s="19"/>
      <c r="X350" s="19"/>
      <c r="Y350" s="19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T351" s="19"/>
      <c r="U351" s="19"/>
      <c r="V351" s="19"/>
      <c r="W351" s="19"/>
      <c r="X351" s="19"/>
      <c r="Y351" s="19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T352" s="19"/>
      <c r="U352" s="19"/>
      <c r="V352" s="19"/>
      <c r="W352" s="19"/>
      <c r="X352" s="19"/>
      <c r="Y352" s="19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T353" s="19"/>
      <c r="U353" s="19"/>
      <c r="V353" s="19"/>
      <c r="W353" s="19"/>
      <c r="X353" s="19"/>
      <c r="Y353" s="19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T354" s="19"/>
      <c r="U354" s="19"/>
      <c r="V354" s="19"/>
      <c r="W354" s="19"/>
      <c r="X354" s="19"/>
      <c r="Y354" s="19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T355" s="19"/>
      <c r="U355" s="19"/>
      <c r="V355" s="19"/>
      <c r="W355" s="19"/>
      <c r="X355" s="19"/>
      <c r="Y355" s="19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T356" s="19"/>
      <c r="U356" s="19"/>
      <c r="V356" s="19"/>
      <c r="W356" s="19"/>
      <c r="X356" s="19"/>
      <c r="Y356" s="19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T357" s="19"/>
      <c r="U357" s="19"/>
      <c r="V357" s="19"/>
      <c r="W357" s="19"/>
      <c r="X357" s="19"/>
      <c r="Y357" s="19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T358" s="19"/>
      <c r="U358" s="19"/>
      <c r="V358" s="19"/>
      <c r="W358" s="19"/>
      <c r="X358" s="19"/>
      <c r="Y358" s="19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T359" s="19"/>
      <c r="U359" s="19"/>
      <c r="V359" s="19"/>
      <c r="W359" s="19"/>
      <c r="X359" s="19"/>
      <c r="Y359" s="19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T360" s="19"/>
      <c r="U360" s="19"/>
      <c r="V360" s="19"/>
      <c r="W360" s="19"/>
      <c r="X360" s="19"/>
      <c r="Y360" s="19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T361" s="19"/>
      <c r="U361" s="19"/>
      <c r="V361" s="19"/>
      <c r="W361" s="19"/>
      <c r="X361" s="19"/>
      <c r="Y361" s="19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T362" s="19"/>
      <c r="U362" s="19"/>
      <c r="V362" s="19"/>
      <c r="W362" s="19"/>
      <c r="X362" s="19"/>
      <c r="Y362" s="19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T363" s="19"/>
      <c r="U363" s="19"/>
      <c r="V363" s="19"/>
      <c r="W363" s="19"/>
      <c r="X363" s="19"/>
      <c r="Y363" s="19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T364" s="19"/>
      <c r="U364" s="19"/>
      <c r="V364" s="19"/>
      <c r="W364" s="19"/>
      <c r="X364" s="19"/>
      <c r="Y364" s="19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T365" s="19"/>
      <c r="U365" s="19"/>
      <c r="V365" s="19"/>
      <c r="W365" s="19"/>
      <c r="X365" s="19"/>
      <c r="Y365" s="19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T366" s="19"/>
      <c r="U366" s="19"/>
      <c r="V366" s="19"/>
      <c r="W366" s="19"/>
      <c r="X366" s="19"/>
      <c r="Y366" s="19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T367" s="19"/>
      <c r="U367" s="19"/>
      <c r="V367" s="19"/>
      <c r="W367" s="19"/>
      <c r="X367" s="19"/>
      <c r="Y367" s="19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T368" s="19"/>
      <c r="U368" s="19"/>
      <c r="V368" s="19"/>
      <c r="W368" s="19"/>
      <c r="X368" s="19"/>
      <c r="Y368" s="19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T369" s="19"/>
      <c r="U369" s="19"/>
      <c r="V369" s="19"/>
      <c r="W369" s="19"/>
      <c r="X369" s="19"/>
      <c r="Y369" s="19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</row>
  </sheetData>
  <conditionalFormatting sqref="A1:C1 Q1:Q169 R1:S280 T1:W369 X1:Y1 A3:C3 X3:Y369 Z3:AA3 AB3:AG280 A33:N33 A35:N35 A37:N37">
    <cfRule type="containsText" dxfId="0" priority="1" operator="containsText" text="Match found">
      <formula>NOT(ISERROR(SEARCH(("Match found"),(A1))))</formula>
    </cfRule>
  </conditionalFormatting>
  <hyperlinks>
    <hyperlink display="Input positions for SASA MDs" location="SASA_MD!A1" ref="A68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25"/>
    <col customWidth="1" min="3" max="3" width="13.38"/>
    <col customWidth="1" min="4" max="4" width="10.5"/>
    <col customWidth="1" min="5" max="5" width="13.0"/>
    <col customWidth="1" min="6" max="6" width="10.38"/>
    <col customWidth="1" min="7" max="7" width="11.38"/>
    <col customWidth="1" min="8" max="8" width="10.25"/>
    <col customWidth="1" min="9" max="9" width="16.63"/>
    <col customWidth="1" min="10" max="10" width="15.5"/>
    <col customWidth="1" min="11" max="11" width="12.0"/>
    <col customWidth="1" min="12" max="12" width="10.5"/>
    <col customWidth="1" min="13" max="13" width="8.25"/>
    <col customWidth="1" min="14" max="14" width="13.0"/>
    <col customWidth="1" min="15" max="15" width="14.0"/>
    <col customWidth="1" min="16" max="16" width="15.38"/>
    <col customWidth="1" min="17" max="17" width="11.13"/>
    <col customWidth="1" min="18" max="18" width="17.25"/>
    <col customWidth="1" min="19" max="19" width="17.38"/>
    <col customWidth="1" min="20" max="20" width="18.0"/>
    <col customWidth="1" min="21" max="21" width="19.25"/>
    <col customWidth="1" min="22" max="22" width="20.63"/>
    <col customWidth="1" min="23" max="23" width="22.38"/>
    <col customWidth="1" min="25" max="25" width="14.5"/>
  </cols>
  <sheetData>
    <row r="1">
      <c r="A1" s="3" t="s">
        <v>27</v>
      </c>
      <c r="Q1" s="3" t="s">
        <v>28</v>
      </c>
      <c r="R1" s="4"/>
      <c r="S1" s="4"/>
      <c r="W1" s="5"/>
      <c r="X1" s="6"/>
      <c r="Z1" s="7"/>
      <c r="AB1" s="8"/>
    </row>
    <row r="2">
      <c r="A2" s="2" t="s">
        <v>29</v>
      </c>
    </row>
    <row r="3">
      <c r="A3" s="9" t="s">
        <v>30</v>
      </c>
      <c r="B3" s="9"/>
      <c r="C3" s="9"/>
      <c r="D3" s="10"/>
      <c r="E3" s="10"/>
      <c r="F3" s="11" t="s">
        <v>31</v>
      </c>
      <c r="G3" s="11"/>
      <c r="H3" s="11"/>
      <c r="I3" s="10"/>
      <c r="J3" s="10"/>
      <c r="K3" s="11" t="s">
        <v>32</v>
      </c>
      <c r="L3" s="11"/>
      <c r="M3" s="11"/>
      <c r="N3" s="10"/>
      <c r="O3" s="10"/>
      <c r="Q3" s="12" t="s">
        <v>30</v>
      </c>
      <c r="R3" s="11" t="s">
        <v>31</v>
      </c>
      <c r="S3" s="11" t="s">
        <v>32</v>
      </c>
      <c r="T3" s="11" t="s">
        <v>33</v>
      </c>
      <c r="U3" s="13" t="s">
        <v>34</v>
      </c>
      <c r="V3" s="14" t="s">
        <v>35</v>
      </c>
      <c r="X3" s="15"/>
      <c r="Y3" s="15"/>
    </row>
    <row r="4">
      <c r="A4" s="16" t="s">
        <v>36</v>
      </c>
      <c r="B4" s="17" t="s">
        <v>37</v>
      </c>
      <c r="C4" s="17" t="s">
        <v>38</v>
      </c>
      <c r="D4" s="17" t="s">
        <v>39</v>
      </c>
      <c r="E4" s="18" t="s">
        <v>40</v>
      </c>
      <c r="F4" s="16" t="s">
        <v>36</v>
      </c>
      <c r="G4" s="17" t="s">
        <v>37</v>
      </c>
      <c r="H4" s="17" t="s">
        <v>38</v>
      </c>
      <c r="I4" s="17" t="s">
        <v>39</v>
      </c>
      <c r="J4" s="18" t="s">
        <v>40</v>
      </c>
      <c r="K4" s="16" t="s">
        <v>36</v>
      </c>
      <c r="L4" s="17" t="s">
        <v>37</v>
      </c>
      <c r="M4" s="17" t="s">
        <v>38</v>
      </c>
      <c r="N4" s="17" t="s">
        <v>39</v>
      </c>
      <c r="O4" s="18" t="s">
        <v>40</v>
      </c>
      <c r="Q4" s="36" t="s">
        <v>44</v>
      </c>
      <c r="R4" s="44" t="s">
        <v>45</v>
      </c>
      <c r="S4" s="57" t="s">
        <v>44</v>
      </c>
      <c r="T4" s="57" t="s">
        <v>44</v>
      </c>
      <c r="U4" s="57" t="s">
        <v>46</v>
      </c>
      <c r="V4" s="57" t="s">
        <v>44</v>
      </c>
      <c r="X4" s="19"/>
      <c r="Y4" s="19"/>
      <c r="AA4" s="20"/>
      <c r="AB4" s="20"/>
      <c r="AC4" s="20"/>
    </row>
    <row r="5">
      <c r="A5" s="21">
        <v>24.135</v>
      </c>
      <c r="B5" s="22">
        <v>5.159</v>
      </c>
      <c r="C5" s="22">
        <v>5.516</v>
      </c>
      <c r="D5" s="22" t="s">
        <v>14</v>
      </c>
      <c r="E5" s="23">
        <v>-0.228</v>
      </c>
      <c r="F5" s="21">
        <v>-2.719</v>
      </c>
      <c r="G5" s="22">
        <v>-0.417</v>
      </c>
      <c r="H5" s="22">
        <v>12.934</v>
      </c>
      <c r="I5" s="22" t="s">
        <v>12</v>
      </c>
      <c r="J5" s="23">
        <v>-1.137</v>
      </c>
      <c r="K5" s="21">
        <v>26.137</v>
      </c>
      <c r="L5" s="22">
        <v>-21.971</v>
      </c>
      <c r="M5" s="22">
        <v>11.031</v>
      </c>
      <c r="N5" s="22" t="s">
        <v>14</v>
      </c>
      <c r="O5" s="23">
        <v>-1.416</v>
      </c>
      <c r="T5" s="19"/>
      <c r="U5" s="19"/>
      <c r="V5" s="19"/>
      <c r="W5" s="19"/>
      <c r="X5" s="19"/>
      <c r="Y5" s="19"/>
      <c r="AA5" s="20"/>
      <c r="AE5" s="20"/>
    </row>
    <row r="6">
      <c r="A6" s="24">
        <v>10.253</v>
      </c>
      <c r="B6" s="25">
        <v>15.671</v>
      </c>
      <c r="C6" s="25">
        <v>-0.488</v>
      </c>
      <c r="D6" s="25" t="s">
        <v>13</v>
      </c>
      <c r="E6" s="26">
        <v>-0.205</v>
      </c>
      <c r="F6" s="24">
        <v>8.648</v>
      </c>
      <c r="G6" s="25">
        <v>3.151</v>
      </c>
      <c r="H6" s="25">
        <v>-14.48</v>
      </c>
      <c r="I6" s="25" t="s">
        <v>14</v>
      </c>
      <c r="J6" s="26">
        <v>-1.118</v>
      </c>
      <c r="K6" s="24">
        <v>13.883</v>
      </c>
      <c r="L6" s="25">
        <v>-23.496</v>
      </c>
      <c r="M6" s="25">
        <v>-13.331</v>
      </c>
      <c r="N6" s="25" t="s">
        <v>8</v>
      </c>
      <c r="O6" s="26">
        <v>-1.353</v>
      </c>
      <c r="T6" s="19"/>
      <c r="U6" s="19"/>
      <c r="V6" s="19"/>
      <c r="W6" s="19"/>
      <c r="X6" s="19"/>
      <c r="Y6" s="19"/>
      <c r="AA6" s="20"/>
      <c r="AB6" s="20"/>
      <c r="AC6" s="20"/>
    </row>
    <row r="7">
      <c r="A7" s="24">
        <v>22.551</v>
      </c>
      <c r="B7" s="25">
        <v>6.875</v>
      </c>
      <c r="C7" s="25">
        <v>7.131</v>
      </c>
      <c r="D7" s="25" t="s">
        <v>3</v>
      </c>
      <c r="E7" s="26">
        <v>-0.202</v>
      </c>
      <c r="F7" s="24">
        <v>-0.966</v>
      </c>
      <c r="G7" s="25">
        <v>-6.072</v>
      </c>
      <c r="H7" s="25">
        <v>4.259</v>
      </c>
      <c r="I7" s="25" t="s">
        <v>21</v>
      </c>
      <c r="J7" s="26">
        <v>-1.088</v>
      </c>
      <c r="K7" s="24">
        <v>22.422</v>
      </c>
      <c r="L7" s="25">
        <v>-24.487</v>
      </c>
      <c r="M7" s="25">
        <v>1.658</v>
      </c>
      <c r="N7" s="25" t="s">
        <v>8</v>
      </c>
      <c r="O7" s="26">
        <v>-1.325</v>
      </c>
      <c r="T7" s="19"/>
      <c r="U7" s="19"/>
      <c r="V7" s="19"/>
      <c r="W7" s="19"/>
      <c r="X7" s="19"/>
      <c r="Y7" s="19"/>
      <c r="AA7" s="20"/>
      <c r="AB7" s="20"/>
      <c r="AC7" s="20"/>
    </row>
    <row r="8">
      <c r="A8" s="24">
        <v>-13.675</v>
      </c>
      <c r="B8" s="25">
        <v>7.979</v>
      </c>
      <c r="C8" s="25">
        <v>-7.634</v>
      </c>
      <c r="D8" s="25" t="s">
        <v>8</v>
      </c>
      <c r="E8" s="26">
        <v>-0.198</v>
      </c>
      <c r="F8" s="24">
        <v>22.28</v>
      </c>
      <c r="G8" s="25">
        <v>-2.373</v>
      </c>
      <c r="H8" s="25">
        <v>0.567</v>
      </c>
      <c r="I8" s="25" t="s">
        <v>12</v>
      </c>
      <c r="J8" s="26">
        <v>-1.083</v>
      </c>
      <c r="K8" s="24">
        <v>-3.421</v>
      </c>
      <c r="L8" s="25">
        <v>11.392</v>
      </c>
      <c r="M8" s="25">
        <v>-19.887</v>
      </c>
      <c r="N8" s="25" t="s">
        <v>8</v>
      </c>
      <c r="O8" s="26">
        <v>-1.309</v>
      </c>
      <c r="T8" s="19"/>
      <c r="U8" s="19"/>
      <c r="V8" s="19"/>
      <c r="W8" s="19"/>
      <c r="X8" s="19"/>
      <c r="Y8" s="19"/>
      <c r="AA8" s="20"/>
      <c r="AB8" s="20"/>
      <c r="AC8" s="20"/>
    </row>
    <row r="9">
      <c r="A9" s="24">
        <v>10.216</v>
      </c>
      <c r="B9" s="25">
        <v>15.941</v>
      </c>
      <c r="C9" s="25">
        <v>-0.944</v>
      </c>
      <c r="D9" s="25" t="s">
        <v>10</v>
      </c>
      <c r="E9" s="26">
        <v>-0.19</v>
      </c>
      <c r="F9" s="24">
        <v>-11.598</v>
      </c>
      <c r="G9" s="25">
        <v>10.064</v>
      </c>
      <c r="H9" s="25">
        <v>13.711</v>
      </c>
      <c r="I9" s="25" t="s">
        <v>17</v>
      </c>
      <c r="J9" s="26">
        <v>-1.073</v>
      </c>
      <c r="K9" s="24">
        <v>5.973</v>
      </c>
      <c r="L9" s="25">
        <v>-26.923</v>
      </c>
      <c r="M9" s="25">
        <v>-7.953</v>
      </c>
      <c r="N9" s="25" t="s">
        <v>11</v>
      </c>
      <c r="O9" s="26">
        <v>-1.308</v>
      </c>
      <c r="T9" s="19"/>
      <c r="U9" s="19"/>
      <c r="V9" s="19"/>
      <c r="W9" s="19"/>
      <c r="X9" s="19"/>
      <c r="Y9" s="19"/>
      <c r="AA9" s="20"/>
      <c r="AB9" s="20"/>
      <c r="AC9" s="20"/>
    </row>
    <row r="10">
      <c r="A10" s="24">
        <v>15.409</v>
      </c>
      <c r="B10" s="25">
        <v>-4.56</v>
      </c>
      <c r="C10" s="25">
        <v>11.933</v>
      </c>
      <c r="D10" s="25" t="s">
        <v>17</v>
      </c>
      <c r="E10" s="26">
        <v>-0.188</v>
      </c>
      <c r="F10" s="24">
        <v>10.516</v>
      </c>
      <c r="G10" s="25">
        <v>-4.898</v>
      </c>
      <c r="H10" s="25">
        <v>-13.736</v>
      </c>
      <c r="I10" s="25" t="s">
        <v>6</v>
      </c>
      <c r="J10" s="26">
        <v>-1.072</v>
      </c>
      <c r="K10" s="24">
        <v>11.72</v>
      </c>
      <c r="L10" s="25">
        <v>-24.187</v>
      </c>
      <c r="M10" s="25">
        <v>-9.6</v>
      </c>
      <c r="N10" s="25" t="s">
        <v>8</v>
      </c>
      <c r="O10" s="26">
        <v>-1.301</v>
      </c>
      <c r="T10" s="19"/>
      <c r="U10" s="19"/>
      <c r="V10" s="19"/>
      <c r="W10" s="19"/>
      <c r="X10" s="19"/>
      <c r="Y10" s="19"/>
      <c r="AA10" s="20"/>
      <c r="AB10" s="20"/>
      <c r="AC10" s="20"/>
    </row>
    <row r="11">
      <c r="A11" s="24">
        <v>16.721</v>
      </c>
      <c r="B11" s="25">
        <v>-4.785</v>
      </c>
      <c r="C11" s="25">
        <v>11.376</v>
      </c>
      <c r="D11" s="25" t="s">
        <v>14</v>
      </c>
      <c r="E11" s="26">
        <v>-0.178</v>
      </c>
      <c r="F11" s="24">
        <v>9.524</v>
      </c>
      <c r="G11" s="25">
        <v>3.336</v>
      </c>
      <c r="H11" s="25">
        <v>-14.062</v>
      </c>
      <c r="I11" s="25" t="s">
        <v>2</v>
      </c>
      <c r="J11" s="26">
        <v>-1.056</v>
      </c>
      <c r="K11" s="24">
        <v>10.337</v>
      </c>
      <c r="L11" s="25">
        <v>6.15</v>
      </c>
      <c r="M11" s="25">
        <v>-14.407</v>
      </c>
      <c r="N11" s="25" t="s">
        <v>14</v>
      </c>
      <c r="O11" s="26">
        <v>-1.288</v>
      </c>
      <c r="T11" s="19"/>
      <c r="U11" s="19"/>
      <c r="V11" s="19"/>
      <c r="W11" s="19"/>
      <c r="X11" s="19"/>
      <c r="Y11" s="19"/>
      <c r="AA11" s="20"/>
      <c r="AB11" s="20"/>
      <c r="AC11" s="20"/>
    </row>
    <row r="12">
      <c r="A12" s="27">
        <v>29.349</v>
      </c>
      <c r="B12" s="28">
        <v>-18.769</v>
      </c>
      <c r="C12" s="28">
        <v>12.577</v>
      </c>
      <c r="D12" s="29" t="s">
        <v>14</v>
      </c>
      <c r="E12" s="30">
        <v>-0.175</v>
      </c>
      <c r="F12" s="24">
        <v>2.413</v>
      </c>
      <c r="G12" s="25">
        <v>22.096</v>
      </c>
      <c r="H12" s="25">
        <v>14.977</v>
      </c>
      <c r="I12" s="25" t="s">
        <v>7</v>
      </c>
      <c r="J12" s="26">
        <v>-1.053</v>
      </c>
      <c r="K12" s="24">
        <v>-1.024</v>
      </c>
      <c r="L12" s="25">
        <v>-28.175</v>
      </c>
      <c r="M12" s="25">
        <v>-2.606</v>
      </c>
      <c r="N12" s="25" t="s">
        <v>14</v>
      </c>
      <c r="O12" s="26">
        <v>-1.28</v>
      </c>
      <c r="T12" s="19"/>
      <c r="U12" s="19"/>
      <c r="V12" s="19"/>
      <c r="W12" s="19"/>
      <c r="X12" s="19"/>
      <c r="Y12" s="19"/>
      <c r="AA12" s="20"/>
      <c r="AB12" s="20"/>
      <c r="AC12" s="20"/>
    </row>
    <row r="13">
      <c r="A13" s="27">
        <v>14.302</v>
      </c>
      <c r="B13" s="28">
        <v>-18.358</v>
      </c>
      <c r="C13" s="28">
        <v>-20.179</v>
      </c>
      <c r="D13" s="29" t="s">
        <v>2</v>
      </c>
      <c r="E13" s="30">
        <v>-0.174</v>
      </c>
      <c r="F13" s="24">
        <v>8.229</v>
      </c>
      <c r="G13" s="25">
        <v>-9.776</v>
      </c>
      <c r="H13" s="25">
        <v>18.141</v>
      </c>
      <c r="I13" s="25" t="s">
        <v>11</v>
      </c>
      <c r="J13" s="26">
        <v>-1.038</v>
      </c>
      <c r="K13" s="24">
        <v>-4.298</v>
      </c>
      <c r="L13" s="25">
        <v>-28.249</v>
      </c>
      <c r="M13" s="25">
        <v>-14.102</v>
      </c>
      <c r="N13" s="25" t="s">
        <v>14</v>
      </c>
      <c r="O13" s="26">
        <v>-1.269</v>
      </c>
      <c r="T13" s="19"/>
      <c r="U13" s="19"/>
      <c r="V13" s="19"/>
      <c r="W13" s="19"/>
      <c r="X13" s="19"/>
      <c r="Y13" s="19"/>
      <c r="AA13" s="20"/>
      <c r="AB13" s="20"/>
      <c r="AC13" s="20"/>
    </row>
    <row r="14">
      <c r="A14" s="27">
        <v>19.673</v>
      </c>
      <c r="B14" s="28">
        <v>-20.259</v>
      </c>
      <c r="C14" s="28">
        <v>5.371</v>
      </c>
      <c r="D14" s="29" t="s">
        <v>8</v>
      </c>
      <c r="E14" s="30">
        <v>-0.174</v>
      </c>
      <c r="F14" s="24">
        <v>-9.069</v>
      </c>
      <c r="G14" s="25">
        <v>19.769</v>
      </c>
      <c r="H14" s="25">
        <v>15.325</v>
      </c>
      <c r="I14" s="25" t="s">
        <v>11</v>
      </c>
      <c r="J14" s="26">
        <v>-1.037</v>
      </c>
      <c r="K14" s="24">
        <v>-14.997</v>
      </c>
      <c r="L14" s="25">
        <v>5.573</v>
      </c>
      <c r="M14" s="25">
        <v>-7.487</v>
      </c>
      <c r="N14" s="25" t="s">
        <v>8</v>
      </c>
      <c r="O14" s="26">
        <v>-1.264</v>
      </c>
      <c r="T14" s="19"/>
      <c r="U14" s="19"/>
      <c r="V14" s="19"/>
      <c r="W14" s="19"/>
      <c r="X14" s="19"/>
      <c r="Y14" s="19"/>
      <c r="AA14" s="20"/>
      <c r="AB14" s="20"/>
      <c r="AC14" s="20"/>
    </row>
    <row r="15">
      <c r="A15" s="31">
        <v>19.956</v>
      </c>
      <c r="B15" s="32">
        <v>-20.345</v>
      </c>
      <c r="C15" s="32">
        <v>5.692</v>
      </c>
      <c r="D15" s="33" t="s">
        <v>7</v>
      </c>
      <c r="E15" s="34">
        <v>-0.173</v>
      </c>
      <c r="F15" s="35">
        <v>17.293</v>
      </c>
      <c r="G15" s="36">
        <v>2.229</v>
      </c>
      <c r="H15" s="36">
        <v>7.952</v>
      </c>
      <c r="I15" s="36" t="s">
        <v>7</v>
      </c>
      <c r="J15" s="37">
        <v>-1.036</v>
      </c>
      <c r="K15" s="35">
        <v>3.307</v>
      </c>
      <c r="L15" s="36">
        <v>24.577</v>
      </c>
      <c r="M15" s="36">
        <v>14.852</v>
      </c>
      <c r="N15" s="36" t="s">
        <v>11</v>
      </c>
      <c r="O15" s="37">
        <v>-1.227</v>
      </c>
      <c r="P15" s="38"/>
      <c r="T15" s="19"/>
      <c r="U15" s="19"/>
      <c r="V15" s="19"/>
      <c r="W15" s="19"/>
      <c r="X15" s="19"/>
      <c r="Y15" s="19"/>
      <c r="AA15" s="20"/>
      <c r="AB15" s="20"/>
      <c r="AC15" s="20"/>
    </row>
    <row r="16">
      <c r="A16" s="31">
        <v>17.04</v>
      </c>
      <c r="B16" s="32">
        <v>-2.522</v>
      </c>
      <c r="C16" s="32">
        <v>12.296</v>
      </c>
      <c r="D16" s="33" t="s">
        <v>7</v>
      </c>
      <c r="E16" s="34">
        <v>-0.172</v>
      </c>
      <c r="F16" s="35">
        <v>-5.388</v>
      </c>
      <c r="G16" s="36">
        <v>-1.579</v>
      </c>
      <c r="H16" s="36">
        <v>12.209</v>
      </c>
      <c r="I16" s="36" t="s">
        <v>2</v>
      </c>
      <c r="J16" s="37">
        <v>-1.034</v>
      </c>
      <c r="K16" s="35">
        <v>-12.502</v>
      </c>
      <c r="L16" s="36">
        <v>8.031</v>
      </c>
      <c r="M16" s="36">
        <v>-6.052</v>
      </c>
      <c r="N16" s="36" t="s">
        <v>16</v>
      </c>
      <c r="O16" s="37">
        <v>-1.22</v>
      </c>
      <c r="P16" s="39"/>
      <c r="T16" s="19"/>
      <c r="U16" s="19"/>
      <c r="V16" s="19"/>
      <c r="W16" s="19"/>
      <c r="X16" s="19"/>
      <c r="Y16" s="19"/>
      <c r="AA16" s="20"/>
      <c r="AB16" s="20"/>
      <c r="AC16" s="20"/>
    </row>
    <row r="17">
      <c r="A17" s="35">
        <v>-12.386</v>
      </c>
      <c r="B17" s="36">
        <v>7.275</v>
      </c>
      <c r="C17" s="36">
        <v>-7.793</v>
      </c>
      <c r="D17" s="36" t="s">
        <v>12</v>
      </c>
      <c r="E17" s="37">
        <v>-0.169</v>
      </c>
      <c r="F17" s="35">
        <v>1.133</v>
      </c>
      <c r="G17" s="36">
        <v>-8.283</v>
      </c>
      <c r="H17" s="36">
        <v>5.561</v>
      </c>
      <c r="I17" s="36" t="s">
        <v>15</v>
      </c>
      <c r="J17" s="37">
        <v>-1.034</v>
      </c>
      <c r="K17" s="40">
        <v>-2.156</v>
      </c>
      <c r="L17" s="41">
        <v>27.933</v>
      </c>
      <c r="M17" s="41">
        <v>17.73</v>
      </c>
      <c r="N17" s="41" t="s">
        <v>7</v>
      </c>
      <c r="O17" s="42">
        <v>-1.21</v>
      </c>
      <c r="P17" s="36"/>
      <c r="T17" s="19"/>
      <c r="U17" s="19"/>
      <c r="V17" s="19"/>
      <c r="W17" s="19"/>
      <c r="X17" s="19"/>
      <c r="Y17" s="19"/>
      <c r="AA17" s="20"/>
      <c r="AB17" s="20"/>
      <c r="AC17" s="20"/>
    </row>
    <row r="18">
      <c r="A18" s="35">
        <v>12.466</v>
      </c>
      <c r="B18" s="36">
        <v>6.364</v>
      </c>
      <c r="C18" s="36">
        <v>-19.017</v>
      </c>
      <c r="D18" s="36" t="s">
        <v>14</v>
      </c>
      <c r="E18" s="37">
        <v>-0.168</v>
      </c>
      <c r="F18" s="35">
        <v>17.684</v>
      </c>
      <c r="G18" s="36">
        <v>-15.91</v>
      </c>
      <c r="H18" s="36">
        <v>-14.357</v>
      </c>
      <c r="I18" s="36" t="s">
        <v>16</v>
      </c>
      <c r="J18" s="37">
        <v>-1.024</v>
      </c>
      <c r="K18" s="43">
        <v>-6.761</v>
      </c>
      <c r="L18" s="44">
        <v>-20.211</v>
      </c>
      <c r="M18" s="44">
        <v>4.136</v>
      </c>
      <c r="N18" s="44" t="s">
        <v>8</v>
      </c>
      <c r="O18" s="37">
        <v>-1.189</v>
      </c>
      <c r="P18" s="36"/>
      <c r="T18" s="19"/>
      <c r="U18" s="19"/>
      <c r="V18" s="19"/>
      <c r="W18" s="19"/>
      <c r="X18" s="19"/>
      <c r="Y18" s="19"/>
      <c r="AA18" s="20"/>
      <c r="AB18" s="20"/>
      <c r="AC18" s="20"/>
    </row>
    <row r="19">
      <c r="A19" s="35">
        <v>17.676</v>
      </c>
      <c r="B19" s="36">
        <v>-21.192</v>
      </c>
      <c r="C19" s="36">
        <v>-10.468</v>
      </c>
      <c r="D19" s="36" t="s">
        <v>8</v>
      </c>
      <c r="E19" s="37">
        <v>-0.167</v>
      </c>
      <c r="F19" s="35">
        <v>22.757</v>
      </c>
      <c r="G19" s="36">
        <v>-17.548</v>
      </c>
      <c r="H19" s="36">
        <v>-8.912</v>
      </c>
      <c r="I19" s="36" t="s">
        <v>11</v>
      </c>
      <c r="J19" s="37">
        <v>-1.024</v>
      </c>
      <c r="K19" s="35">
        <v>-9.876</v>
      </c>
      <c r="L19" s="36">
        <v>7.422</v>
      </c>
      <c r="M19" s="36">
        <v>-3.101</v>
      </c>
      <c r="N19" s="36" t="s">
        <v>15</v>
      </c>
      <c r="O19" s="37">
        <v>-1.102</v>
      </c>
      <c r="P19" s="36"/>
      <c r="T19" s="19"/>
      <c r="U19" s="19"/>
      <c r="V19" s="19"/>
      <c r="W19" s="19"/>
      <c r="X19" s="19"/>
      <c r="Y19" s="19"/>
      <c r="AA19" s="20"/>
      <c r="AB19" s="20"/>
      <c r="AC19" s="20"/>
    </row>
    <row r="20">
      <c r="A20" s="35">
        <v>-12.787</v>
      </c>
      <c r="B20" s="36">
        <v>7.937</v>
      </c>
      <c r="C20" s="36">
        <v>-7.377</v>
      </c>
      <c r="D20" s="36" t="s">
        <v>16</v>
      </c>
      <c r="E20" s="37">
        <v>-0.167</v>
      </c>
      <c r="F20" s="35">
        <v>-12.44</v>
      </c>
      <c r="G20" s="36">
        <v>10.375</v>
      </c>
      <c r="H20" s="36">
        <v>13.642</v>
      </c>
      <c r="I20" s="36" t="s">
        <v>3</v>
      </c>
      <c r="J20" s="37">
        <v>-1.017</v>
      </c>
      <c r="K20" s="35">
        <v>19.311</v>
      </c>
      <c r="L20" s="36">
        <v>-19.278</v>
      </c>
      <c r="M20" s="36">
        <v>-8.73</v>
      </c>
      <c r="N20" s="36" t="s">
        <v>11</v>
      </c>
      <c r="O20" s="37">
        <v>-1.09</v>
      </c>
      <c r="P20" s="36"/>
      <c r="T20" s="19"/>
      <c r="U20" s="19"/>
      <c r="V20" s="19"/>
      <c r="W20" s="19"/>
      <c r="X20" s="19"/>
      <c r="Y20" s="19"/>
      <c r="AA20" s="20"/>
      <c r="AB20" s="20"/>
      <c r="AC20" s="20"/>
    </row>
    <row r="21">
      <c r="A21" s="35">
        <v>24.624</v>
      </c>
      <c r="B21" s="36">
        <v>5.178</v>
      </c>
      <c r="C21" s="36">
        <v>4.36</v>
      </c>
      <c r="D21" s="36" t="s">
        <v>6</v>
      </c>
      <c r="E21" s="37">
        <v>-0.163</v>
      </c>
      <c r="F21" s="35">
        <v>22.84</v>
      </c>
      <c r="G21" s="36">
        <v>-5.14</v>
      </c>
      <c r="H21" s="36">
        <v>-1.764</v>
      </c>
      <c r="I21" s="36" t="s">
        <v>5</v>
      </c>
      <c r="J21" s="37">
        <v>-1.016</v>
      </c>
      <c r="K21" s="35">
        <v>-10.827</v>
      </c>
      <c r="L21" s="36">
        <v>11.866</v>
      </c>
      <c r="M21" s="36">
        <v>16.038</v>
      </c>
      <c r="N21" s="36" t="s">
        <v>6</v>
      </c>
      <c r="O21" s="37">
        <v>-1.074</v>
      </c>
      <c r="P21" s="36"/>
      <c r="T21" s="19"/>
      <c r="U21" s="19"/>
      <c r="V21" s="19"/>
      <c r="W21" s="19"/>
      <c r="X21" s="19"/>
      <c r="Y21" s="19"/>
      <c r="AA21" s="20"/>
      <c r="AB21" s="20"/>
      <c r="AC21" s="20"/>
    </row>
    <row r="22">
      <c r="A22" s="35">
        <v>-7.267</v>
      </c>
      <c r="B22" s="36">
        <v>-3.319</v>
      </c>
      <c r="C22" s="36">
        <v>18.814</v>
      </c>
      <c r="D22" s="36" t="s">
        <v>9</v>
      </c>
      <c r="E22" s="37">
        <v>-0.162</v>
      </c>
      <c r="F22" s="35">
        <v>14.843</v>
      </c>
      <c r="G22" s="36">
        <v>-21.072</v>
      </c>
      <c r="H22" s="36">
        <v>3.126</v>
      </c>
      <c r="I22" s="36" t="s">
        <v>7</v>
      </c>
      <c r="J22" s="37">
        <v>-1.012</v>
      </c>
      <c r="K22" s="35">
        <v>20.414</v>
      </c>
      <c r="L22" s="36">
        <v>-22.04</v>
      </c>
      <c r="M22" s="36">
        <v>-2.911</v>
      </c>
      <c r="N22" s="36" t="s">
        <v>8</v>
      </c>
      <c r="O22" s="37">
        <v>-1.035</v>
      </c>
      <c r="P22" s="36"/>
      <c r="T22" s="19"/>
      <c r="U22" s="19"/>
      <c r="V22" s="19"/>
      <c r="W22" s="19"/>
      <c r="X22" s="19"/>
      <c r="Y22" s="19"/>
      <c r="AA22" s="20"/>
      <c r="AB22" s="20"/>
      <c r="AC22" s="20"/>
    </row>
    <row r="23">
      <c r="A23" s="35">
        <v>-5.875</v>
      </c>
      <c r="B23" s="36">
        <v>-27.861</v>
      </c>
      <c r="C23" s="36">
        <v>-12.413</v>
      </c>
      <c r="D23" s="36" t="s">
        <v>14</v>
      </c>
      <c r="E23" s="37">
        <v>-0.161</v>
      </c>
      <c r="F23" s="35">
        <v>-4.032</v>
      </c>
      <c r="G23" s="36">
        <v>7.712</v>
      </c>
      <c r="H23" s="36">
        <v>-5.695</v>
      </c>
      <c r="I23" s="36" t="s">
        <v>4</v>
      </c>
      <c r="J23" s="37">
        <v>-1.012</v>
      </c>
      <c r="K23" s="35">
        <v>18.265</v>
      </c>
      <c r="L23" s="36">
        <v>1.726</v>
      </c>
      <c r="M23" s="36">
        <v>7.538</v>
      </c>
      <c r="N23" s="36" t="s">
        <v>7</v>
      </c>
      <c r="O23" s="37">
        <v>-1.019</v>
      </c>
      <c r="P23" s="36"/>
      <c r="T23" s="19"/>
      <c r="U23" s="19"/>
      <c r="V23" s="19"/>
      <c r="W23" s="19"/>
      <c r="X23" s="19"/>
      <c r="Y23" s="19"/>
      <c r="AA23" s="20"/>
      <c r="AB23" s="20"/>
      <c r="AC23" s="20"/>
    </row>
    <row r="24">
      <c r="A24" s="35">
        <v>-4.771</v>
      </c>
      <c r="B24" s="36">
        <v>-28.017</v>
      </c>
      <c r="C24" s="36">
        <v>-1.064</v>
      </c>
      <c r="D24" s="36" t="s">
        <v>14</v>
      </c>
      <c r="E24" s="37">
        <v>-0.161</v>
      </c>
      <c r="F24" s="35">
        <v>-9.65</v>
      </c>
      <c r="G24" s="36">
        <v>-1.955</v>
      </c>
      <c r="H24" s="36">
        <v>21.58</v>
      </c>
      <c r="I24" s="36" t="s">
        <v>8</v>
      </c>
      <c r="J24" s="37">
        <v>-1.008</v>
      </c>
      <c r="K24" s="35">
        <v>8.106</v>
      </c>
      <c r="L24" s="36">
        <v>-13.603</v>
      </c>
      <c r="M24" s="36">
        <v>-7.46</v>
      </c>
      <c r="N24" s="36" t="s">
        <v>6</v>
      </c>
      <c r="O24" s="37">
        <v>-1.012</v>
      </c>
      <c r="P24" s="36"/>
      <c r="T24" s="19"/>
      <c r="U24" s="19"/>
      <c r="V24" s="19"/>
      <c r="W24" s="19"/>
      <c r="X24" s="19"/>
      <c r="Y24" s="19"/>
      <c r="AA24" s="20"/>
      <c r="AB24" s="20"/>
      <c r="AC24" s="20"/>
    </row>
    <row r="25">
      <c r="A25" s="35">
        <v>1.322</v>
      </c>
      <c r="B25" s="36">
        <v>26.272</v>
      </c>
      <c r="C25" s="36">
        <v>19.125</v>
      </c>
      <c r="D25" s="36" t="s">
        <v>7</v>
      </c>
      <c r="E25" s="37">
        <v>-0.16</v>
      </c>
      <c r="F25" s="35">
        <v>0.051</v>
      </c>
      <c r="G25" s="36">
        <v>12.61</v>
      </c>
      <c r="H25" s="36">
        <v>19.667</v>
      </c>
      <c r="I25" s="36" t="s">
        <v>13</v>
      </c>
      <c r="J25" s="37">
        <v>-1.008</v>
      </c>
      <c r="K25" s="35">
        <v>3.768</v>
      </c>
      <c r="L25" s="36">
        <v>-9.151</v>
      </c>
      <c r="M25" s="36">
        <v>-24.206</v>
      </c>
      <c r="N25" s="36" t="s">
        <v>14</v>
      </c>
      <c r="O25" s="37">
        <v>-0.999</v>
      </c>
      <c r="P25" s="36"/>
      <c r="T25" s="19"/>
      <c r="U25" s="19"/>
      <c r="V25" s="19"/>
      <c r="W25" s="19"/>
      <c r="X25" s="19"/>
      <c r="Y25" s="19"/>
      <c r="AA25" s="20"/>
      <c r="AB25" s="20"/>
      <c r="AC25" s="20"/>
    </row>
    <row r="26">
      <c r="A26" s="35">
        <v>-7.472</v>
      </c>
      <c r="B26" s="36">
        <v>-23.844</v>
      </c>
      <c r="C26" s="36">
        <v>-11.62</v>
      </c>
      <c r="D26" s="36" t="s">
        <v>9</v>
      </c>
      <c r="E26" s="37">
        <v>-0.159</v>
      </c>
      <c r="F26" s="35">
        <v>-0.697</v>
      </c>
      <c r="G26" s="36">
        <v>16.172</v>
      </c>
      <c r="H26" s="36">
        <v>3.609</v>
      </c>
      <c r="I26" s="36" t="s">
        <v>17</v>
      </c>
      <c r="J26" s="37">
        <v>-1.004</v>
      </c>
      <c r="K26" s="35">
        <v>8.997</v>
      </c>
      <c r="L26" s="36">
        <v>3.225</v>
      </c>
      <c r="M26" s="36">
        <v>-14.393</v>
      </c>
      <c r="N26" s="36" t="s">
        <v>2</v>
      </c>
      <c r="O26" s="37">
        <v>-0.962</v>
      </c>
      <c r="P26" s="36"/>
      <c r="T26" s="19"/>
      <c r="U26" s="19"/>
      <c r="V26" s="19"/>
      <c r="W26" s="19"/>
      <c r="X26" s="19"/>
      <c r="Y26" s="19"/>
      <c r="AA26" s="20"/>
      <c r="AB26" s="20"/>
      <c r="AC26" s="20"/>
    </row>
    <row r="27">
      <c r="A27" s="35">
        <v>13.798</v>
      </c>
      <c r="B27" s="36">
        <v>-16.751</v>
      </c>
      <c r="C27" s="36">
        <v>-20.993</v>
      </c>
      <c r="D27" s="36" t="s">
        <v>2</v>
      </c>
      <c r="E27" s="37">
        <v>-0.159</v>
      </c>
      <c r="F27" s="35">
        <v>-12.726</v>
      </c>
      <c r="G27" s="36">
        <v>11.723</v>
      </c>
      <c r="H27" s="36">
        <v>13.555</v>
      </c>
      <c r="I27" s="36" t="s">
        <v>3</v>
      </c>
      <c r="J27" s="37">
        <v>-0.999</v>
      </c>
      <c r="K27" s="45">
        <v>8.572</v>
      </c>
      <c r="L27" s="46">
        <v>-10.137</v>
      </c>
      <c r="M27" s="46">
        <v>18.197</v>
      </c>
      <c r="N27" s="46" t="s">
        <v>11</v>
      </c>
      <c r="O27" s="47">
        <v>-0.951</v>
      </c>
      <c r="P27" s="36"/>
      <c r="T27" s="19"/>
      <c r="U27" s="19"/>
      <c r="V27" s="19"/>
      <c r="W27" s="19"/>
      <c r="X27" s="19"/>
      <c r="Y27" s="19"/>
      <c r="AA27" s="20"/>
      <c r="AB27" s="20"/>
      <c r="AC27" s="20"/>
    </row>
    <row r="28">
      <c r="A28" s="35">
        <v>-20.319</v>
      </c>
      <c r="B28" s="36">
        <v>-2.419</v>
      </c>
      <c r="C28" s="36">
        <v>-19.228</v>
      </c>
      <c r="D28" s="36" t="s">
        <v>12</v>
      </c>
      <c r="E28" s="37">
        <v>-0.155</v>
      </c>
      <c r="F28" s="35">
        <v>16.979</v>
      </c>
      <c r="G28" s="36">
        <v>-7.914</v>
      </c>
      <c r="H28" s="36">
        <v>-5.104</v>
      </c>
      <c r="I28" s="36" t="s">
        <v>5</v>
      </c>
      <c r="J28" s="37">
        <v>-0.996</v>
      </c>
      <c r="K28" s="45">
        <v>0.3</v>
      </c>
      <c r="L28" s="46">
        <v>16.889</v>
      </c>
      <c r="M28" s="46">
        <v>-11.607</v>
      </c>
      <c r="N28" s="46" t="s">
        <v>9</v>
      </c>
      <c r="O28" s="47">
        <v>-0.948</v>
      </c>
      <c r="P28" s="36"/>
      <c r="T28" s="19"/>
      <c r="U28" s="19"/>
      <c r="V28" s="19"/>
      <c r="W28" s="19"/>
      <c r="X28" s="19"/>
      <c r="Y28" s="19"/>
      <c r="AA28" s="20"/>
      <c r="AB28" s="20"/>
      <c r="AC28" s="20"/>
    </row>
    <row r="29">
      <c r="A29" s="35">
        <v>-7.398</v>
      </c>
      <c r="B29" s="36">
        <v>-3.358</v>
      </c>
      <c r="C29" s="36">
        <v>19.451</v>
      </c>
      <c r="D29" s="36" t="s">
        <v>2</v>
      </c>
      <c r="E29" s="37">
        <v>-0.153</v>
      </c>
      <c r="F29" s="35">
        <v>25.587</v>
      </c>
      <c r="G29" s="36">
        <v>-3.221</v>
      </c>
      <c r="H29" s="36">
        <v>-3.738</v>
      </c>
      <c r="I29" s="36" t="s">
        <v>12</v>
      </c>
      <c r="J29" s="37">
        <v>-0.996</v>
      </c>
      <c r="K29" s="45">
        <v>1.033</v>
      </c>
      <c r="L29" s="46">
        <v>7.178</v>
      </c>
      <c r="M29" s="46">
        <v>21.371</v>
      </c>
      <c r="N29" s="46" t="s">
        <v>9</v>
      </c>
      <c r="O29" s="47">
        <v>-0.936</v>
      </c>
      <c r="P29" s="36"/>
      <c r="T29" s="19"/>
      <c r="U29" s="19"/>
      <c r="V29" s="19"/>
      <c r="W29" s="19"/>
      <c r="X29" s="19"/>
      <c r="Y29" s="19"/>
      <c r="AA29" s="20"/>
      <c r="AB29" s="20"/>
      <c r="AC29" s="20"/>
    </row>
    <row r="30">
      <c r="A30" s="35">
        <v>13.589</v>
      </c>
      <c r="B30" s="36">
        <v>-15.857</v>
      </c>
      <c r="C30" s="36">
        <v>-20.742</v>
      </c>
      <c r="D30" s="36" t="s">
        <v>13</v>
      </c>
      <c r="E30" s="37">
        <v>-0.152</v>
      </c>
      <c r="F30" s="35">
        <v>-14.467</v>
      </c>
      <c r="G30" s="36">
        <v>-6.764</v>
      </c>
      <c r="H30" s="36">
        <v>-0.736</v>
      </c>
      <c r="I30" s="36" t="s">
        <v>5</v>
      </c>
      <c r="J30" s="37">
        <v>-0.995</v>
      </c>
      <c r="K30" s="45">
        <v>-1.264</v>
      </c>
      <c r="L30" s="46">
        <v>18.972</v>
      </c>
      <c r="M30" s="46">
        <v>-4.887</v>
      </c>
      <c r="N30" s="46" t="s">
        <v>14</v>
      </c>
      <c r="O30" s="47">
        <v>-0.934</v>
      </c>
      <c r="P30" s="36"/>
      <c r="T30" s="19"/>
      <c r="U30" s="19"/>
      <c r="V30" s="19"/>
      <c r="W30" s="19"/>
      <c r="X30" s="19"/>
      <c r="Y30" s="19"/>
      <c r="AA30" s="20"/>
      <c r="AB30" s="20"/>
      <c r="AC30" s="20"/>
    </row>
    <row r="31">
      <c r="A31" s="35">
        <v>17.934</v>
      </c>
      <c r="B31" s="36">
        <v>-5.524</v>
      </c>
      <c r="C31" s="36">
        <v>-12.783</v>
      </c>
      <c r="D31" s="36" t="s">
        <v>8</v>
      </c>
      <c r="E31" s="37">
        <v>-0.152</v>
      </c>
      <c r="F31" s="35">
        <v>10.507</v>
      </c>
      <c r="G31" s="36">
        <v>-4.912</v>
      </c>
      <c r="H31" s="36">
        <v>-13.085</v>
      </c>
      <c r="I31" s="36" t="s">
        <v>5</v>
      </c>
      <c r="J31" s="37">
        <v>-0.99</v>
      </c>
      <c r="K31" s="35">
        <v>-23.595</v>
      </c>
      <c r="L31" s="36">
        <v>-5.698</v>
      </c>
      <c r="M31" s="36">
        <v>-6.044</v>
      </c>
      <c r="N31" s="36" t="s">
        <v>7</v>
      </c>
      <c r="O31" s="37">
        <v>-0.932</v>
      </c>
      <c r="T31" s="19"/>
      <c r="U31" s="19"/>
      <c r="V31" s="19"/>
      <c r="W31" s="19"/>
      <c r="X31" s="19"/>
      <c r="Y31" s="19"/>
      <c r="AA31" s="20"/>
      <c r="AB31" s="20"/>
      <c r="AC31" s="20"/>
    </row>
    <row r="32">
      <c r="A32" s="35">
        <v>1.394</v>
      </c>
      <c r="B32" s="36">
        <v>-8.941</v>
      </c>
      <c r="C32" s="36">
        <v>5.48</v>
      </c>
      <c r="D32" s="36" t="s">
        <v>21</v>
      </c>
      <c r="E32" s="37">
        <v>-0.15</v>
      </c>
      <c r="F32" s="35">
        <v>26.326</v>
      </c>
      <c r="G32" s="36">
        <v>-4.284</v>
      </c>
      <c r="H32" s="36">
        <v>-3.736</v>
      </c>
      <c r="I32" s="36" t="s">
        <v>3</v>
      </c>
      <c r="J32" s="37">
        <v>-0.987</v>
      </c>
      <c r="K32" s="35">
        <v>21.675</v>
      </c>
      <c r="L32" s="36">
        <v>-0.224</v>
      </c>
      <c r="M32" s="36">
        <v>8.651</v>
      </c>
      <c r="N32" s="36" t="s">
        <v>14</v>
      </c>
      <c r="O32" s="37">
        <v>-0.917</v>
      </c>
      <c r="T32" s="19"/>
      <c r="U32" s="19"/>
      <c r="V32" s="19"/>
      <c r="W32" s="19"/>
      <c r="X32" s="19"/>
      <c r="Y32" s="19"/>
      <c r="AA32" s="20"/>
      <c r="AB32" s="20"/>
      <c r="AC32" s="20"/>
    </row>
    <row r="33">
      <c r="A33" s="35">
        <v>18.863</v>
      </c>
      <c r="B33" s="36">
        <v>-4.334</v>
      </c>
      <c r="C33" s="36">
        <v>-11.748</v>
      </c>
      <c r="D33" s="36" t="s">
        <v>11</v>
      </c>
      <c r="E33" s="37">
        <v>-0.149</v>
      </c>
      <c r="F33" s="35">
        <v>15.98</v>
      </c>
      <c r="G33" s="36">
        <v>-15.824</v>
      </c>
      <c r="H33" s="36">
        <v>-9.417</v>
      </c>
      <c r="I33" s="36" t="s">
        <v>6</v>
      </c>
      <c r="J33" s="37">
        <v>-0.982</v>
      </c>
      <c r="K33" s="35">
        <v>-11.129</v>
      </c>
      <c r="L33" s="36">
        <v>12.643</v>
      </c>
      <c r="M33" s="36">
        <v>13.744</v>
      </c>
      <c r="N33" s="36" t="s">
        <v>3</v>
      </c>
      <c r="O33" s="37">
        <v>-0.915</v>
      </c>
      <c r="T33" s="19"/>
      <c r="U33" s="19"/>
      <c r="V33" s="19"/>
      <c r="W33" s="19"/>
      <c r="X33" s="19"/>
      <c r="Y33" s="19"/>
      <c r="AA33" s="20"/>
      <c r="AB33" s="20"/>
      <c r="AC33" s="20"/>
    </row>
    <row r="34">
      <c r="A34" s="48">
        <v>-15.931</v>
      </c>
      <c r="B34" s="49">
        <v>7.183</v>
      </c>
      <c r="C34" s="49">
        <v>-7.685</v>
      </c>
      <c r="D34" s="49" t="s">
        <v>9</v>
      </c>
      <c r="E34" s="50">
        <v>-0.149</v>
      </c>
      <c r="F34" s="48">
        <v>-8.262</v>
      </c>
      <c r="G34" s="49">
        <v>-3.039</v>
      </c>
      <c r="H34" s="49">
        <v>21.695</v>
      </c>
      <c r="I34" s="49" t="s">
        <v>11</v>
      </c>
      <c r="J34" s="50">
        <v>-0.981</v>
      </c>
      <c r="K34" s="48">
        <v>7.291</v>
      </c>
      <c r="L34" s="49">
        <v>20.68</v>
      </c>
      <c r="M34" s="49">
        <v>4.458</v>
      </c>
      <c r="N34" s="49" t="s">
        <v>13</v>
      </c>
      <c r="O34" s="50">
        <v>-0.903</v>
      </c>
      <c r="T34" s="19"/>
      <c r="U34" s="19"/>
      <c r="V34" s="19"/>
      <c r="W34" s="19"/>
      <c r="X34" s="19"/>
      <c r="Y34" s="19"/>
      <c r="AA34" s="20"/>
      <c r="AB34" s="20"/>
      <c r="AC34" s="20"/>
    </row>
    <row r="35">
      <c r="A35" s="9" t="s">
        <v>33</v>
      </c>
      <c r="B35" s="9"/>
      <c r="C35" s="9"/>
      <c r="D35" s="10"/>
      <c r="E35" s="10"/>
      <c r="F35" s="11" t="s">
        <v>34</v>
      </c>
      <c r="G35" s="11"/>
      <c r="H35" s="11"/>
      <c r="I35" s="10"/>
      <c r="J35" s="10"/>
      <c r="K35" s="11" t="s">
        <v>35</v>
      </c>
      <c r="L35" s="11"/>
      <c r="M35" s="11"/>
      <c r="N35" s="10"/>
      <c r="O35" s="10"/>
      <c r="T35" s="19"/>
      <c r="U35" s="19"/>
      <c r="V35" s="19"/>
      <c r="W35" s="19"/>
      <c r="X35" s="19"/>
      <c r="Y35" s="19"/>
      <c r="AA35" s="20"/>
      <c r="AB35" s="20"/>
      <c r="AC35" s="20"/>
    </row>
    <row r="36">
      <c r="A36" s="16" t="s">
        <v>36</v>
      </c>
      <c r="B36" s="17" t="s">
        <v>37</v>
      </c>
      <c r="C36" s="17" t="s">
        <v>38</v>
      </c>
      <c r="D36" s="17" t="s">
        <v>39</v>
      </c>
      <c r="E36" s="18" t="s">
        <v>40</v>
      </c>
      <c r="F36" s="16" t="s">
        <v>36</v>
      </c>
      <c r="G36" s="17" t="s">
        <v>37</v>
      </c>
      <c r="H36" s="17" t="s">
        <v>38</v>
      </c>
      <c r="I36" s="17" t="s">
        <v>39</v>
      </c>
      <c r="J36" s="18" t="s">
        <v>40</v>
      </c>
      <c r="K36" s="16" t="s">
        <v>36</v>
      </c>
      <c r="L36" s="17" t="s">
        <v>37</v>
      </c>
      <c r="M36" s="17" t="s">
        <v>38</v>
      </c>
      <c r="N36" s="17" t="s">
        <v>39</v>
      </c>
      <c r="O36" s="18" t="s">
        <v>40</v>
      </c>
      <c r="T36" s="19"/>
      <c r="U36" s="19"/>
      <c r="V36" s="19"/>
      <c r="W36" s="19"/>
      <c r="X36" s="19"/>
      <c r="Y36" s="19"/>
      <c r="AA36" s="20"/>
      <c r="AB36" s="20"/>
      <c r="AC36" s="20"/>
    </row>
    <row r="37">
      <c r="A37" s="21">
        <v>8.997</v>
      </c>
      <c r="B37" s="22">
        <v>3.225</v>
      </c>
      <c r="C37" s="22">
        <v>-14.393</v>
      </c>
      <c r="D37" s="22" t="s">
        <v>2</v>
      </c>
      <c r="E37" s="23">
        <v>-1.266</v>
      </c>
      <c r="F37" s="21">
        <v>8.648</v>
      </c>
      <c r="G37" s="22">
        <v>3.151</v>
      </c>
      <c r="H37" s="22">
        <v>-14.48</v>
      </c>
      <c r="I37" s="22" t="s">
        <v>14</v>
      </c>
      <c r="J37" s="23">
        <v>-1.473</v>
      </c>
      <c r="K37" s="21">
        <v>8.997</v>
      </c>
      <c r="L37" s="22">
        <v>3.225</v>
      </c>
      <c r="M37" s="22">
        <v>-14.393</v>
      </c>
      <c r="N37" s="22" t="s">
        <v>2</v>
      </c>
      <c r="O37" s="23">
        <v>-0.949</v>
      </c>
      <c r="T37" s="19"/>
      <c r="U37" s="19"/>
      <c r="V37" s="19"/>
      <c r="W37" s="19"/>
      <c r="X37" s="19"/>
      <c r="Y37" s="19"/>
      <c r="AA37" s="20"/>
      <c r="AB37" s="20"/>
      <c r="AC37" s="20"/>
    </row>
    <row r="38">
      <c r="A38" s="24">
        <v>-23.723</v>
      </c>
      <c r="B38" s="25">
        <v>-11.981</v>
      </c>
      <c r="C38" s="25">
        <v>-12.553</v>
      </c>
      <c r="D38" s="25" t="s">
        <v>15</v>
      </c>
      <c r="E38" s="26">
        <v>-1.217</v>
      </c>
      <c r="F38" s="24">
        <v>9.171</v>
      </c>
      <c r="G38" s="25">
        <v>3.198</v>
      </c>
      <c r="H38" s="25">
        <v>-13.936</v>
      </c>
      <c r="I38" s="25" t="s">
        <v>2</v>
      </c>
      <c r="J38" s="26">
        <v>-1.438</v>
      </c>
      <c r="K38" s="24">
        <v>8.648</v>
      </c>
      <c r="L38" s="25">
        <v>3.151</v>
      </c>
      <c r="M38" s="25">
        <v>-14.48</v>
      </c>
      <c r="N38" s="25" t="s">
        <v>14</v>
      </c>
      <c r="O38" s="26">
        <v>-0.855</v>
      </c>
      <c r="T38" s="19"/>
      <c r="U38" s="19"/>
      <c r="V38" s="19"/>
      <c r="W38" s="19"/>
      <c r="X38" s="19"/>
      <c r="Y38" s="19"/>
      <c r="AA38" s="20"/>
      <c r="AB38" s="20"/>
      <c r="AC38" s="20"/>
    </row>
    <row r="39">
      <c r="A39" s="24">
        <v>-10.844</v>
      </c>
      <c r="B39" s="25">
        <v>11.939</v>
      </c>
      <c r="C39" s="25">
        <v>16.138</v>
      </c>
      <c r="D39" s="25" t="s">
        <v>9</v>
      </c>
      <c r="E39" s="26">
        <v>-1.217</v>
      </c>
      <c r="F39" s="24">
        <v>17.293</v>
      </c>
      <c r="G39" s="25">
        <v>2.229</v>
      </c>
      <c r="H39" s="25">
        <v>7.952</v>
      </c>
      <c r="I39" s="25" t="s">
        <v>7</v>
      </c>
      <c r="J39" s="26">
        <v>-1.389</v>
      </c>
      <c r="K39" s="24">
        <v>-10.844</v>
      </c>
      <c r="L39" s="25">
        <v>11.939</v>
      </c>
      <c r="M39" s="25">
        <v>16.138</v>
      </c>
      <c r="N39" s="25" t="s">
        <v>9</v>
      </c>
      <c r="O39" s="26">
        <v>-0.844</v>
      </c>
      <c r="T39" s="19"/>
      <c r="U39" s="19"/>
      <c r="V39" s="19"/>
      <c r="W39" s="19"/>
      <c r="X39" s="19"/>
      <c r="Y39" s="19"/>
      <c r="AA39" s="20"/>
      <c r="AB39" s="20"/>
      <c r="AC39" s="20"/>
    </row>
    <row r="40">
      <c r="A40" s="24">
        <v>-7.883</v>
      </c>
      <c r="B40" s="25">
        <v>24.019</v>
      </c>
      <c r="C40" s="25">
        <v>10.336</v>
      </c>
      <c r="D40" s="25" t="s">
        <v>11</v>
      </c>
      <c r="E40" s="26">
        <v>-1.143</v>
      </c>
      <c r="F40" s="24">
        <v>-10.827</v>
      </c>
      <c r="G40" s="25">
        <v>11.866</v>
      </c>
      <c r="H40" s="25">
        <v>16.038</v>
      </c>
      <c r="I40" s="25" t="s">
        <v>6</v>
      </c>
      <c r="J40" s="26">
        <v>-1.36</v>
      </c>
      <c r="K40" s="24">
        <v>29.804</v>
      </c>
      <c r="L40" s="25">
        <v>-0.637</v>
      </c>
      <c r="M40" s="25">
        <v>3.832</v>
      </c>
      <c r="N40" s="25" t="s">
        <v>7</v>
      </c>
      <c r="O40" s="26">
        <v>-0.826</v>
      </c>
      <c r="T40" s="19"/>
      <c r="U40" s="19"/>
      <c r="V40" s="19"/>
      <c r="W40" s="19"/>
      <c r="X40" s="19"/>
      <c r="Y40" s="19"/>
      <c r="AA40" s="20"/>
      <c r="AB40" s="20"/>
      <c r="AC40" s="20"/>
    </row>
    <row r="41">
      <c r="A41" s="24">
        <v>2.195</v>
      </c>
      <c r="B41" s="25">
        <v>12.557</v>
      </c>
      <c r="C41" s="25">
        <v>21.044</v>
      </c>
      <c r="D41" s="25" t="s">
        <v>13</v>
      </c>
      <c r="E41" s="26">
        <v>-1.126</v>
      </c>
      <c r="F41" s="24">
        <v>8.017</v>
      </c>
      <c r="G41" s="25">
        <v>-10.541</v>
      </c>
      <c r="H41" s="25">
        <v>18.006</v>
      </c>
      <c r="I41" s="25" t="s">
        <v>11</v>
      </c>
      <c r="J41" s="26">
        <v>-1.358</v>
      </c>
      <c r="K41" s="24">
        <v>-23.729</v>
      </c>
      <c r="L41" s="25">
        <v>-11.975</v>
      </c>
      <c r="M41" s="25">
        <v>-12.551</v>
      </c>
      <c r="N41" s="25" t="s">
        <v>15</v>
      </c>
      <c r="O41" s="26">
        <v>-0.823</v>
      </c>
      <c r="T41" s="19"/>
      <c r="U41" s="19"/>
      <c r="V41" s="19"/>
      <c r="W41" s="19"/>
      <c r="X41" s="19"/>
      <c r="Y41" s="19"/>
      <c r="AA41" s="20"/>
      <c r="AB41" s="20"/>
      <c r="AC41" s="20"/>
    </row>
    <row r="42">
      <c r="A42" s="24">
        <v>18.265</v>
      </c>
      <c r="B42" s="25">
        <v>1.726</v>
      </c>
      <c r="C42" s="25">
        <v>7.538</v>
      </c>
      <c r="D42" s="25" t="s">
        <v>7</v>
      </c>
      <c r="E42" s="26">
        <v>-1.119</v>
      </c>
      <c r="F42" s="24">
        <v>-7.883</v>
      </c>
      <c r="G42" s="25">
        <v>24.019</v>
      </c>
      <c r="H42" s="25">
        <v>10.336</v>
      </c>
      <c r="I42" s="25" t="s">
        <v>11</v>
      </c>
      <c r="J42" s="26">
        <v>-1.347</v>
      </c>
      <c r="K42" s="24">
        <v>-10.705</v>
      </c>
      <c r="L42" s="25">
        <v>-14.55</v>
      </c>
      <c r="M42" s="25">
        <v>-9.272</v>
      </c>
      <c r="N42" s="25" t="s">
        <v>11</v>
      </c>
      <c r="O42" s="26">
        <v>-0.795</v>
      </c>
      <c r="T42" s="19"/>
      <c r="U42" s="19"/>
      <c r="V42" s="19"/>
      <c r="W42" s="19"/>
      <c r="X42" s="19"/>
      <c r="Y42" s="19"/>
      <c r="AA42" s="20"/>
      <c r="AB42" s="20"/>
      <c r="AC42" s="20"/>
    </row>
    <row r="43">
      <c r="A43" s="24">
        <v>-8.55</v>
      </c>
      <c r="B43" s="25">
        <v>12.392</v>
      </c>
      <c r="C43" s="25">
        <v>-9.712</v>
      </c>
      <c r="D43" s="25" t="s">
        <v>16</v>
      </c>
      <c r="E43" s="26">
        <v>-1.112</v>
      </c>
      <c r="F43" s="24">
        <v>-10.844</v>
      </c>
      <c r="G43" s="25">
        <v>11.939</v>
      </c>
      <c r="H43" s="25">
        <v>16.138</v>
      </c>
      <c r="I43" s="25" t="s">
        <v>9</v>
      </c>
      <c r="J43" s="26">
        <v>-1.34</v>
      </c>
      <c r="K43" s="24">
        <v>-5.677</v>
      </c>
      <c r="L43" s="25">
        <v>-4.212</v>
      </c>
      <c r="M43" s="25">
        <v>-8.145</v>
      </c>
      <c r="N43" s="25" t="s">
        <v>11</v>
      </c>
      <c r="O43" s="26">
        <v>-0.785</v>
      </c>
      <c r="T43" s="19"/>
      <c r="U43" s="19"/>
      <c r="V43" s="19"/>
      <c r="W43" s="19"/>
      <c r="X43" s="19"/>
      <c r="Y43" s="19"/>
      <c r="AA43" s="20"/>
      <c r="AB43" s="20"/>
      <c r="AC43" s="20"/>
    </row>
    <row r="44">
      <c r="A44" s="27">
        <v>3.755</v>
      </c>
      <c r="B44" s="28">
        <v>-20.154</v>
      </c>
      <c r="C44" s="28">
        <v>9.762</v>
      </c>
      <c r="D44" s="29" t="s">
        <v>6</v>
      </c>
      <c r="E44" s="30">
        <v>-1.091</v>
      </c>
      <c r="F44" s="24">
        <v>8.565</v>
      </c>
      <c r="G44" s="25">
        <v>3.109</v>
      </c>
      <c r="H44" s="25">
        <v>-13.995</v>
      </c>
      <c r="I44" s="25" t="s">
        <v>10</v>
      </c>
      <c r="J44" s="26">
        <v>-1.333</v>
      </c>
      <c r="K44" s="24">
        <v>3.755</v>
      </c>
      <c r="L44" s="25">
        <v>-20.154</v>
      </c>
      <c r="M44" s="25">
        <v>9.762</v>
      </c>
      <c r="N44" s="25" t="s">
        <v>6</v>
      </c>
      <c r="O44" s="26">
        <v>-0.748</v>
      </c>
      <c r="T44" s="19"/>
      <c r="U44" s="19"/>
      <c r="V44" s="19"/>
      <c r="W44" s="19"/>
      <c r="X44" s="19"/>
      <c r="Y44" s="19"/>
      <c r="AA44" s="20"/>
      <c r="AB44" s="20"/>
      <c r="AC44" s="20"/>
    </row>
    <row r="45">
      <c r="A45" s="27">
        <v>-6.527</v>
      </c>
      <c r="B45" s="28">
        <v>24.698</v>
      </c>
      <c r="C45" s="28">
        <v>9.431</v>
      </c>
      <c r="D45" s="29" t="s">
        <v>2</v>
      </c>
      <c r="E45" s="30">
        <v>-1.087</v>
      </c>
      <c r="F45" s="24">
        <v>-8.197</v>
      </c>
      <c r="G45" s="25">
        <v>3.315</v>
      </c>
      <c r="H45" s="25">
        <v>3.186</v>
      </c>
      <c r="I45" s="25" t="s">
        <v>9</v>
      </c>
      <c r="J45" s="26">
        <v>-1.33</v>
      </c>
      <c r="K45" s="24">
        <v>22.564</v>
      </c>
      <c r="L45" s="25">
        <v>-5.307</v>
      </c>
      <c r="M45" s="25">
        <v>6.244</v>
      </c>
      <c r="N45" s="25" t="s">
        <v>11</v>
      </c>
      <c r="O45" s="26">
        <v>-0.742</v>
      </c>
      <c r="T45" s="19"/>
      <c r="U45" s="19"/>
      <c r="V45" s="19"/>
      <c r="W45" s="19"/>
      <c r="X45" s="19"/>
      <c r="Y45" s="19"/>
      <c r="AA45" s="20"/>
      <c r="AB45" s="20"/>
      <c r="AC45" s="20"/>
    </row>
    <row r="46">
      <c r="A46" s="27">
        <v>9.814</v>
      </c>
      <c r="B46" s="28">
        <v>-9.733</v>
      </c>
      <c r="C46" s="28">
        <v>17.976</v>
      </c>
      <c r="D46" s="29" t="s">
        <v>11</v>
      </c>
      <c r="E46" s="30">
        <v>-1.085</v>
      </c>
      <c r="F46" s="24">
        <v>8.106</v>
      </c>
      <c r="G46" s="25">
        <v>-13.603</v>
      </c>
      <c r="H46" s="25">
        <v>-7.46</v>
      </c>
      <c r="I46" s="25" t="s">
        <v>6</v>
      </c>
      <c r="J46" s="26">
        <v>-1.327</v>
      </c>
      <c r="K46" s="24">
        <v>-7.883</v>
      </c>
      <c r="L46" s="25">
        <v>24.019</v>
      </c>
      <c r="M46" s="25">
        <v>10.336</v>
      </c>
      <c r="N46" s="25" t="s">
        <v>11</v>
      </c>
      <c r="O46" s="26">
        <v>-0.741</v>
      </c>
      <c r="T46" s="19"/>
      <c r="U46" s="19"/>
      <c r="V46" s="19"/>
      <c r="W46" s="19"/>
      <c r="X46" s="19"/>
      <c r="Y46" s="19"/>
      <c r="AA46" s="20"/>
      <c r="AB46" s="20"/>
      <c r="AC46" s="20"/>
    </row>
    <row r="47">
      <c r="A47" s="31">
        <v>8.648</v>
      </c>
      <c r="B47" s="32">
        <v>3.151</v>
      </c>
      <c r="C47" s="32">
        <v>-14.48</v>
      </c>
      <c r="D47" s="33" t="s">
        <v>14</v>
      </c>
      <c r="E47" s="34">
        <v>-1.076</v>
      </c>
      <c r="F47" s="35">
        <v>-7.768</v>
      </c>
      <c r="G47" s="36">
        <v>-21.754</v>
      </c>
      <c r="H47" s="36">
        <v>-4.241</v>
      </c>
      <c r="I47" s="36" t="s">
        <v>9</v>
      </c>
      <c r="J47" s="37">
        <v>-1.303</v>
      </c>
      <c r="K47" s="35">
        <v>10.945</v>
      </c>
      <c r="L47" s="36">
        <v>-9.447</v>
      </c>
      <c r="M47" s="36">
        <v>16.935</v>
      </c>
      <c r="N47" s="36" t="s">
        <v>11</v>
      </c>
      <c r="O47" s="37">
        <v>-0.728</v>
      </c>
      <c r="T47" s="19"/>
      <c r="U47" s="19"/>
      <c r="V47" s="19"/>
      <c r="W47" s="19"/>
      <c r="X47" s="19"/>
      <c r="Y47" s="19"/>
      <c r="AA47" s="20"/>
      <c r="AB47" s="20"/>
      <c r="AC47" s="20"/>
    </row>
    <row r="48">
      <c r="A48" s="31">
        <v>29.804</v>
      </c>
      <c r="B48" s="32">
        <v>-0.637</v>
      </c>
      <c r="C48" s="32">
        <v>3.832</v>
      </c>
      <c r="D48" s="33" t="s">
        <v>7</v>
      </c>
      <c r="E48" s="34">
        <v>-1.068</v>
      </c>
      <c r="F48" s="35">
        <v>-10.705</v>
      </c>
      <c r="G48" s="36">
        <v>-14.55</v>
      </c>
      <c r="H48" s="36">
        <v>-9.272</v>
      </c>
      <c r="I48" s="36" t="s">
        <v>11</v>
      </c>
      <c r="J48" s="37">
        <v>-1.297</v>
      </c>
      <c r="K48" s="35">
        <v>0.125</v>
      </c>
      <c r="L48" s="36">
        <v>12.786</v>
      </c>
      <c r="M48" s="36">
        <v>19.457</v>
      </c>
      <c r="N48" s="36" t="s">
        <v>13</v>
      </c>
      <c r="O48" s="37">
        <v>-0.727</v>
      </c>
      <c r="T48" s="19"/>
      <c r="U48" s="19"/>
      <c r="V48" s="19"/>
      <c r="W48" s="19"/>
      <c r="X48" s="19"/>
      <c r="Y48" s="19"/>
      <c r="AA48" s="20"/>
      <c r="AB48" s="20"/>
      <c r="AC48" s="20"/>
    </row>
    <row r="49">
      <c r="A49" s="35">
        <v>22.221</v>
      </c>
      <c r="B49" s="36">
        <v>-4.946</v>
      </c>
      <c r="C49" s="36">
        <v>6.189</v>
      </c>
      <c r="D49" s="36" t="s">
        <v>11</v>
      </c>
      <c r="E49" s="37">
        <v>-1.059</v>
      </c>
      <c r="F49" s="35">
        <v>0.3</v>
      </c>
      <c r="G49" s="36">
        <v>16.889</v>
      </c>
      <c r="H49" s="36">
        <v>-11.607</v>
      </c>
      <c r="I49" s="36" t="s">
        <v>9</v>
      </c>
      <c r="J49" s="37">
        <v>-1.297</v>
      </c>
      <c r="K49" s="40">
        <v>8.509</v>
      </c>
      <c r="L49" s="41">
        <v>-15.454</v>
      </c>
      <c r="M49" s="41">
        <v>13.66</v>
      </c>
      <c r="N49" s="51" t="s">
        <v>16</v>
      </c>
      <c r="O49" s="52">
        <v>-0.723</v>
      </c>
      <c r="T49" s="19"/>
      <c r="U49" s="19"/>
      <c r="V49" s="19"/>
      <c r="W49" s="19"/>
      <c r="X49" s="19"/>
      <c r="Y49" s="19"/>
      <c r="AA49" s="20"/>
      <c r="AB49" s="20"/>
      <c r="AC49" s="20"/>
    </row>
    <row r="50">
      <c r="A50" s="35">
        <v>-14.426</v>
      </c>
      <c r="B50" s="36">
        <v>-1.569</v>
      </c>
      <c r="C50" s="36">
        <v>15.382</v>
      </c>
      <c r="D50" s="36" t="s">
        <v>16</v>
      </c>
      <c r="E50" s="37">
        <v>-1.053</v>
      </c>
      <c r="F50" s="35">
        <v>27.078</v>
      </c>
      <c r="G50" s="36">
        <v>-11.262</v>
      </c>
      <c r="H50" s="36">
        <v>4.693</v>
      </c>
      <c r="I50" s="36" t="s">
        <v>16</v>
      </c>
      <c r="J50" s="37">
        <v>-1.293</v>
      </c>
      <c r="K50" s="35">
        <v>9.416</v>
      </c>
      <c r="L50" s="36">
        <v>19.79</v>
      </c>
      <c r="M50" s="36">
        <v>-3.53</v>
      </c>
      <c r="N50" s="36" t="s">
        <v>2</v>
      </c>
      <c r="O50" s="37">
        <v>-0.723</v>
      </c>
      <c r="T50" s="19"/>
      <c r="U50" s="19"/>
      <c r="V50" s="19"/>
      <c r="W50" s="19"/>
      <c r="X50" s="19"/>
      <c r="Y50" s="19"/>
      <c r="AA50" s="20"/>
      <c r="AB50" s="20"/>
      <c r="AC50" s="20"/>
    </row>
    <row r="51">
      <c r="A51" s="35">
        <v>26.916</v>
      </c>
      <c r="B51" s="36">
        <v>-12.402</v>
      </c>
      <c r="C51" s="36">
        <v>6.262</v>
      </c>
      <c r="D51" s="36" t="s">
        <v>16</v>
      </c>
      <c r="E51" s="37">
        <v>-1.049</v>
      </c>
      <c r="F51" s="35">
        <v>1.017</v>
      </c>
      <c r="G51" s="36">
        <v>20.118</v>
      </c>
      <c r="H51" s="36">
        <v>17.55</v>
      </c>
      <c r="I51" s="36" t="s">
        <v>16</v>
      </c>
      <c r="J51" s="37">
        <v>-1.284</v>
      </c>
      <c r="K51" s="35">
        <v>17.501</v>
      </c>
      <c r="L51" s="36">
        <v>2.201</v>
      </c>
      <c r="M51" s="36">
        <v>7.931</v>
      </c>
      <c r="N51" s="36" t="s">
        <v>7</v>
      </c>
      <c r="O51" s="37">
        <v>-0.712</v>
      </c>
      <c r="T51" s="19"/>
      <c r="U51" s="19"/>
      <c r="V51" s="19"/>
      <c r="W51" s="19"/>
      <c r="X51" s="19"/>
      <c r="Y51" s="19"/>
      <c r="AA51" s="20"/>
      <c r="AB51" s="20"/>
      <c r="AC51" s="20"/>
    </row>
    <row r="52">
      <c r="A52" s="35">
        <v>-10.705</v>
      </c>
      <c r="B52" s="36">
        <v>-14.55</v>
      </c>
      <c r="C52" s="36">
        <v>-9.272</v>
      </c>
      <c r="D52" s="36" t="s">
        <v>11</v>
      </c>
      <c r="E52" s="37">
        <v>-1.042</v>
      </c>
      <c r="F52" s="35">
        <v>-10.749</v>
      </c>
      <c r="G52" s="36">
        <v>12.385</v>
      </c>
      <c r="H52" s="36">
        <v>14.424</v>
      </c>
      <c r="I52" s="36" t="s">
        <v>3</v>
      </c>
      <c r="J52" s="37">
        <v>-1.277</v>
      </c>
      <c r="K52" s="35">
        <v>27.029</v>
      </c>
      <c r="L52" s="36">
        <v>-12.58</v>
      </c>
      <c r="M52" s="36">
        <v>2.961</v>
      </c>
      <c r="N52" s="36" t="s">
        <v>6</v>
      </c>
      <c r="O52" s="37">
        <v>-0.7</v>
      </c>
      <c r="T52" s="19"/>
      <c r="U52" s="19"/>
      <c r="V52" s="19"/>
      <c r="W52" s="19"/>
      <c r="X52" s="19"/>
      <c r="Y52" s="19"/>
      <c r="AA52" s="20"/>
      <c r="AB52" s="20"/>
      <c r="AC52" s="20"/>
    </row>
    <row r="53">
      <c r="A53" s="35">
        <v>5.432</v>
      </c>
      <c r="B53" s="36">
        <v>23.049</v>
      </c>
      <c r="C53" s="36">
        <v>-0.904</v>
      </c>
      <c r="D53" s="36" t="s">
        <v>13</v>
      </c>
      <c r="E53" s="37">
        <v>-1.038</v>
      </c>
      <c r="F53" s="35">
        <v>-9.854</v>
      </c>
      <c r="G53" s="36">
        <v>9.698</v>
      </c>
      <c r="H53" s="36">
        <v>17.92</v>
      </c>
      <c r="I53" s="36" t="s">
        <v>3</v>
      </c>
      <c r="J53" s="37">
        <v>-1.27</v>
      </c>
      <c r="K53" s="35">
        <v>-13.863</v>
      </c>
      <c r="L53" s="36">
        <v>-7.283</v>
      </c>
      <c r="M53" s="36">
        <v>-2.389</v>
      </c>
      <c r="N53" s="36" t="s">
        <v>4</v>
      </c>
      <c r="O53" s="37">
        <v>-0.694</v>
      </c>
      <c r="T53" s="19"/>
      <c r="U53" s="19"/>
      <c r="V53" s="19"/>
      <c r="W53" s="19"/>
      <c r="X53" s="19"/>
      <c r="Y53" s="19"/>
      <c r="AA53" s="20"/>
      <c r="AB53" s="20"/>
      <c r="AC53" s="20"/>
    </row>
    <row r="54">
      <c r="A54" s="35">
        <v>26.64</v>
      </c>
      <c r="B54" s="36">
        <v>-17.463</v>
      </c>
      <c r="C54" s="36">
        <v>-3.45</v>
      </c>
      <c r="D54" s="36" t="s">
        <v>11</v>
      </c>
      <c r="E54" s="37">
        <v>-1.024</v>
      </c>
      <c r="F54" s="35">
        <v>-24.152</v>
      </c>
      <c r="G54" s="36">
        <v>-11.542</v>
      </c>
      <c r="H54" s="36">
        <v>-12.701</v>
      </c>
      <c r="I54" s="36" t="s">
        <v>15</v>
      </c>
      <c r="J54" s="37">
        <v>-1.269</v>
      </c>
      <c r="K54" s="35">
        <v>1.017</v>
      </c>
      <c r="L54" s="36">
        <v>20.118</v>
      </c>
      <c r="M54" s="36">
        <v>17.55</v>
      </c>
      <c r="N54" s="36" t="s">
        <v>16</v>
      </c>
      <c r="O54" s="37">
        <v>-0.691</v>
      </c>
      <c r="T54" s="19"/>
      <c r="U54" s="19"/>
      <c r="V54" s="19"/>
      <c r="W54" s="19"/>
      <c r="X54" s="19"/>
      <c r="Y54" s="19"/>
      <c r="AA54" s="20"/>
      <c r="AB54" s="20"/>
      <c r="AC54" s="20"/>
    </row>
    <row r="55">
      <c r="A55" s="35">
        <v>8.565</v>
      </c>
      <c r="B55" s="36">
        <v>3.109</v>
      </c>
      <c r="C55" s="36">
        <v>-13.995</v>
      </c>
      <c r="D55" s="36" t="s">
        <v>10</v>
      </c>
      <c r="E55" s="37">
        <v>-1.024</v>
      </c>
      <c r="F55" s="35">
        <v>8.353</v>
      </c>
      <c r="G55" s="36">
        <v>-12.237</v>
      </c>
      <c r="H55" s="36">
        <v>20.436</v>
      </c>
      <c r="I55" s="36" t="s">
        <v>11</v>
      </c>
      <c r="J55" s="37">
        <v>-1.265</v>
      </c>
      <c r="K55" s="35">
        <v>-10.279</v>
      </c>
      <c r="L55" s="36">
        <v>-2.649</v>
      </c>
      <c r="M55" s="36">
        <v>-5.248</v>
      </c>
      <c r="N55" s="36" t="s">
        <v>8</v>
      </c>
      <c r="O55" s="37">
        <v>-0.686</v>
      </c>
      <c r="T55" s="19"/>
      <c r="U55" s="19"/>
      <c r="V55" s="19"/>
      <c r="W55" s="19"/>
      <c r="X55" s="19"/>
      <c r="Y55" s="19"/>
      <c r="AA55" s="20"/>
      <c r="AB55" s="20"/>
      <c r="AC55" s="20"/>
    </row>
    <row r="56">
      <c r="A56" s="35">
        <v>27.029</v>
      </c>
      <c r="B56" s="36">
        <v>-12.58</v>
      </c>
      <c r="C56" s="36">
        <v>2.961</v>
      </c>
      <c r="D56" s="36" t="s">
        <v>6</v>
      </c>
      <c r="E56" s="37">
        <v>-1.018</v>
      </c>
      <c r="F56" s="35">
        <v>-6.527</v>
      </c>
      <c r="G56" s="36">
        <v>24.698</v>
      </c>
      <c r="H56" s="36">
        <v>9.431</v>
      </c>
      <c r="I56" s="36" t="s">
        <v>2</v>
      </c>
      <c r="J56" s="37">
        <v>-1.258</v>
      </c>
      <c r="K56" s="35">
        <v>-8.262</v>
      </c>
      <c r="L56" s="36">
        <v>-3.039</v>
      </c>
      <c r="M56" s="36">
        <v>21.695</v>
      </c>
      <c r="N56" s="36" t="s">
        <v>11</v>
      </c>
      <c r="O56" s="37">
        <v>-0.68</v>
      </c>
      <c r="T56" s="19"/>
      <c r="U56" s="19"/>
      <c r="V56" s="19"/>
      <c r="W56" s="19"/>
      <c r="X56" s="19"/>
      <c r="Y56" s="19"/>
      <c r="AA56" s="20"/>
      <c r="AB56" s="20"/>
      <c r="AC56" s="20"/>
    </row>
    <row r="57">
      <c r="A57" s="35">
        <v>-10.827</v>
      </c>
      <c r="B57" s="36">
        <v>11.866</v>
      </c>
      <c r="C57" s="36">
        <v>16.038</v>
      </c>
      <c r="D57" s="36" t="s">
        <v>6</v>
      </c>
      <c r="E57" s="37">
        <v>-1.01</v>
      </c>
      <c r="F57" s="35">
        <v>3.312</v>
      </c>
      <c r="G57" s="36">
        <v>-0.434</v>
      </c>
      <c r="H57" s="36">
        <v>6.136</v>
      </c>
      <c r="I57" s="36" t="s">
        <v>15</v>
      </c>
      <c r="J57" s="37">
        <v>-1.257</v>
      </c>
      <c r="K57" s="35">
        <v>-6.295</v>
      </c>
      <c r="L57" s="36">
        <v>7.19</v>
      </c>
      <c r="M57" s="36">
        <v>13.692</v>
      </c>
      <c r="N57" s="36" t="s">
        <v>15</v>
      </c>
      <c r="O57" s="37">
        <v>-0.675</v>
      </c>
      <c r="T57" s="19"/>
      <c r="U57" s="19"/>
      <c r="V57" s="19"/>
      <c r="W57" s="19"/>
      <c r="X57" s="19"/>
      <c r="Y57" s="19"/>
      <c r="AA57" s="20"/>
      <c r="AB57" s="20"/>
      <c r="AC57" s="20"/>
    </row>
    <row r="58">
      <c r="A58" s="35">
        <v>-7.522</v>
      </c>
      <c r="B58" s="36">
        <v>-21.338</v>
      </c>
      <c r="C58" s="36">
        <v>-4.097</v>
      </c>
      <c r="D58" s="36" t="s">
        <v>9</v>
      </c>
      <c r="E58" s="37">
        <v>-1.005</v>
      </c>
      <c r="F58" s="35">
        <v>-17.849</v>
      </c>
      <c r="G58" s="36">
        <v>-6.469</v>
      </c>
      <c r="H58" s="36">
        <v>-1.546</v>
      </c>
      <c r="I58" s="36" t="s">
        <v>7</v>
      </c>
      <c r="J58" s="37">
        <v>-1.252</v>
      </c>
      <c r="K58" s="35">
        <v>-7.522</v>
      </c>
      <c r="L58" s="36">
        <v>-21.338</v>
      </c>
      <c r="M58" s="36">
        <v>-4.097</v>
      </c>
      <c r="N58" s="36" t="s">
        <v>9</v>
      </c>
      <c r="O58" s="37">
        <v>-0.672</v>
      </c>
      <c r="T58" s="19"/>
      <c r="U58" s="19"/>
      <c r="V58" s="19"/>
      <c r="W58" s="19"/>
      <c r="X58" s="19"/>
      <c r="Y58" s="19"/>
      <c r="AA58" s="20"/>
      <c r="AB58" s="20"/>
      <c r="AC58" s="20"/>
    </row>
    <row r="59">
      <c r="A59" s="35">
        <v>8.106</v>
      </c>
      <c r="B59" s="36">
        <v>-13.603</v>
      </c>
      <c r="C59" s="36">
        <v>-7.46</v>
      </c>
      <c r="D59" s="36" t="s">
        <v>6</v>
      </c>
      <c r="E59" s="37">
        <v>-0.993</v>
      </c>
      <c r="F59" s="35">
        <v>5.432</v>
      </c>
      <c r="G59" s="36">
        <v>23.049</v>
      </c>
      <c r="H59" s="36">
        <v>-0.904</v>
      </c>
      <c r="I59" s="36" t="s">
        <v>13</v>
      </c>
      <c r="J59" s="37">
        <v>-1.248</v>
      </c>
      <c r="K59" s="45">
        <v>-10.827</v>
      </c>
      <c r="L59" s="46">
        <v>11.866</v>
      </c>
      <c r="M59" s="46">
        <v>16.038</v>
      </c>
      <c r="N59" s="46" t="s">
        <v>6</v>
      </c>
      <c r="O59" s="47">
        <v>-0.67</v>
      </c>
      <c r="T59" s="19"/>
      <c r="U59" s="19"/>
      <c r="V59" s="19"/>
      <c r="W59" s="19"/>
      <c r="X59" s="19"/>
      <c r="Y59" s="19"/>
      <c r="AA59" s="20"/>
      <c r="AB59" s="20"/>
      <c r="AC59" s="20"/>
    </row>
    <row r="60">
      <c r="A60" s="35">
        <v>27.839</v>
      </c>
      <c r="B60" s="36">
        <v>-4.037</v>
      </c>
      <c r="C60" s="36">
        <v>-3.071</v>
      </c>
      <c r="D60" s="36" t="s">
        <v>5</v>
      </c>
      <c r="E60" s="37">
        <v>-0.992</v>
      </c>
      <c r="F60" s="35">
        <v>0.431</v>
      </c>
      <c r="G60" s="36">
        <v>17.153</v>
      </c>
      <c r="H60" s="36">
        <v>-11.086</v>
      </c>
      <c r="I60" s="36" t="s">
        <v>20</v>
      </c>
      <c r="J60" s="37">
        <v>-1.247</v>
      </c>
      <c r="K60" s="45">
        <v>-0.875</v>
      </c>
      <c r="L60" s="46">
        <v>19.771</v>
      </c>
      <c r="M60" s="46">
        <v>18.708</v>
      </c>
      <c r="N60" s="46" t="s">
        <v>7</v>
      </c>
      <c r="O60" s="47">
        <v>-0.669</v>
      </c>
      <c r="T60" s="19"/>
      <c r="U60" s="19"/>
      <c r="V60" s="19"/>
      <c r="W60" s="19"/>
      <c r="X60" s="19"/>
      <c r="Y60" s="19"/>
      <c r="AA60" s="20"/>
      <c r="AB60" s="20"/>
      <c r="AC60" s="20"/>
    </row>
    <row r="61">
      <c r="A61" s="35">
        <v>21.675</v>
      </c>
      <c r="B61" s="36">
        <v>-0.224</v>
      </c>
      <c r="C61" s="36">
        <v>8.651</v>
      </c>
      <c r="D61" s="36" t="s">
        <v>14</v>
      </c>
      <c r="E61" s="37">
        <v>-0.99</v>
      </c>
      <c r="F61" s="35">
        <v>-9.973</v>
      </c>
      <c r="G61" s="36">
        <v>13.553</v>
      </c>
      <c r="H61" s="36">
        <v>-4.8</v>
      </c>
      <c r="I61" s="36" t="s">
        <v>16</v>
      </c>
      <c r="J61" s="37">
        <v>-1.246</v>
      </c>
      <c r="K61" s="45">
        <v>8.67</v>
      </c>
      <c r="L61" s="46">
        <v>0.682</v>
      </c>
      <c r="M61" s="46">
        <v>2.945</v>
      </c>
      <c r="N61" s="46" t="s">
        <v>10</v>
      </c>
      <c r="O61" s="47">
        <v>-0.663</v>
      </c>
      <c r="T61" s="19"/>
      <c r="U61" s="19"/>
      <c r="V61" s="19"/>
      <c r="W61" s="19"/>
      <c r="X61" s="19"/>
      <c r="Y61" s="19"/>
      <c r="AA61" s="20"/>
      <c r="AB61" s="20"/>
      <c r="AC61" s="20"/>
    </row>
    <row r="62">
      <c r="A62" s="35">
        <v>12.521</v>
      </c>
      <c r="B62" s="36">
        <v>-9.232</v>
      </c>
      <c r="C62" s="36">
        <v>-16.898</v>
      </c>
      <c r="D62" s="36" t="s">
        <v>6</v>
      </c>
      <c r="E62" s="37">
        <v>-0.977</v>
      </c>
      <c r="F62" s="35">
        <v>-8.286</v>
      </c>
      <c r="G62" s="36">
        <v>3.3</v>
      </c>
      <c r="H62" s="36">
        <v>3.439</v>
      </c>
      <c r="I62" s="36" t="s">
        <v>10</v>
      </c>
      <c r="J62" s="37">
        <v>-1.245</v>
      </c>
      <c r="K62" s="45">
        <v>29.267</v>
      </c>
      <c r="L62" s="46">
        <v>-1.375</v>
      </c>
      <c r="M62" s="46">
        <v>2.77</v>
      </c>
      <c r="N62" s="46" t="s">
        <v>12</v>
      </c>
      <c r="O62" s="47">
        <v>-0.662</v>
      </c>
      <c r="T62" s="19"/>
      <c r="U62" s="19"/>
      <c r="V62" s="19"/>
      <c r="W62" s="19"/>
      <c r="X62" s="19"/>
      <c r="Y62" s="19"/>
      <c r="AA62" s="20"/>
      <c r="AB62" s="20"/>
      <c r="AC62" s="20"/>
    </row>
    <row r="63">
      <c r="A63" s="35">
        <v>-18.171</v>
      </c>
      <c r="B63" s="36">
        <v>-5.123</v>
      </c>
      <c r="C63" s="36">
        <v>-1.297</v>
      </c>
      <c r="D63" s="36" t="s">
        <v>7</v>
      </c>
      <c r="E63" s="37">
        <v>-0.976</v>
      </c>
      <c r="F63" s="35">
        <v>8.594</v>
      </c>
      <c r="G63" s="36">
        <v>-1.297</v>
      </c>
      <c r="H63" s="36">
        <v>16.263</v>
      </c>
      <c r="I63" s="36" t="s">
        <v>13</v>
      </c>
      <c r="J63" s="37">
        <v>-1.242</v>
      </c>
      <c r="K63" s="35">
        <v>21.797</v>
      </c>
      <c r="L63" s="36">
        <v>-0.59</v>
      </c>
      <c r="M63" s="36">
        <v>-0.857</v>
      </c>
      <c r="N63" s="36" t="s">
        <v>3</v>
      </c>
      <c r="O63" s="37">
        <v>-0.66</v>
      </c>
      <c r="T63" s="19"/>
      <c r="U63" s="19"/>
      <c r="V63" s="19"/>
      <c r="W63" s="19"/>
      <c r="X63" s="19"/>
      <c r="Y63" s="19"/>
      <c r="AA63" s="20"/>
      <c r="AB63" s="20"/>
      <c r="AC63" s="20"/>
    </row>
    <row r="64">
      <c r="A64" s="35">
        <v>5.647</v>
      </c>
      <c r="B64" s="36">
        <v>22.663</v>
      </c>
      <c r="C64" s="36">
        <v>-1.232</v>
      </c>
      <c r="D64" s="36" t="s">
        <v>9</v>
      </c>
      <c r="E64" s="37">
        <v>-0.968</v>
      </c>
      <c r="F64" s="35">
        <v>3.997</v>
      </c>
      <c r="G64" s="36">
        <v>-2.45</v>
      </c>
      <c r="H64" s="36">
        <v>6.721</v>
      </c>
      <c r="I64" s="36" t="s">
        <v>6</v>
      </c>
      <c r="J64" s="37">
        <v>-1.235</v>
      </c>
      <c r="K64" s="35">
        <v>-7.08</v>
      </c>
      <c r="L64" s="36">
        <v>23.935</v>
      </c>
      <c r="M64" s="36">
        <v>8.969</v>
      </c>
      <c r="N64" s="36" t="s">
        <v>17</v>
      </c>
      <c r="O64" s="37">
        <v>-0.658</v>
      </c>
      <c r="T64" s="19"/>
      <c r="U64" s="19"/>
      <c r="V64" s="19"/>
      <c r="W64" s="19"/>
      <c r="X64" s="19"/>
      <c r="Y64" s="19"/>
      <c r="AA64" s="20"/>
      <c r="AB64" s="20"/>
      <c r="AC64" s="20"/>
    </row>
    <row r="65">
      <c r="A65" s="35">
        <v>1.017</v>
      </c>
      <c r="B65" s="36">
        <v>20.118</v>
      </c>
      <c r="C65" s="36">
        <v>17.55</v>
      </c>
      <c r="D65" s="36" t="s">
        <v>16</v>
      </c>
      <c r="E65" s="37">
        <v>-0.966</v>
      </c>
      <c r="F65" s="35">
        <v>21.421</v>
      </c>
      <c r="G65" s="36">
        <v>1.183</v>
      </c>
      <c r="H65" s="36">
        <v>9.034</v>
      </c>
      <c r="I65" s="36" t="s">
        <v>14</v>
      </c>
      <c r="J65" s="37">
        <v>-1.234</v>
      </c>
      <c r="K65" s="35">
        <v>0.591</v>
      </c>
      <c r="L65" s="36">
        <v>21.231</v>
      </c>
      <c r="M65" s="36">
        <v>12.851</v>
      </c>
      <c r="N65" s="36" t="s">
        <v>11</v>
      </c>
      <c r="O65" s="37">
        <v>-0.657</v>
      </c>
      <c r="T65" s="19"/>
      <c r="U65" s="19"/>
      <c r="V65" s="19"/>
      <c r="W65" s="19"/>
      <c r="X65" s="19"/>
      <c r="Y65" s="19"/>
      <c r="AA65" s="20"/>
      <c r="AB65" s="20"/>
      <c r="AC65" s="20"/>
    </row>
    <row r="66">
      <c r="A66" s="48">
        <v>3.569</v>
      </c>
      <c r="B66" s="49">
        <v>28.265</v>
      </c>
      <c r="C66" s="49">
        <v>10.691</v>
      </c>
      <c r="D66" s="49" t="s">
        <v>11</v>
      </c>
      <c r="E66" s="50">
        <v>-0.964</v>
      </c>
      <c r="F66" s="48">
        <v>-5.607</v>
      </c>
      <c r="G66" s="49">
        <v>14.723</v>
      </c>
      <c r="H66" s="49">
        <v>6.988</v>
      </c>
      <c r="I66" s="49" t="s">
        <v>10</v>
      </c>
      <c r="J66" s="50">
        <v>-1.234</v>
      </c>
      <c r="K66" s="48">
        <v>18.132</v>
      </c>
      <c r="L66" s="49">
        <v>-18.153</v>
      </c>
      <c r="M66" s="49">
        <v>-2.97</v>
      </c>
      <c r="N66" s="49" t="s">
        <v>4</v>
      </c>
      <c r="O66" s="50">
        <v>-0.655</v>
      </c>
      <c r="T66" s="19"/>
      <c r="U66" s="19"/>
      <c r="V66" s="19"/>
      <c r="W66" s="19"/>
      <c r="X66" s="19"/>
      <c r="Y66" s="19"/>
      <c r="AA66" s="20"/>
      <c r="AB66" s="20"/>
      <c r="AC66" s="20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T67" s="19"/>
      <c r="U67" s="19"/>
      <c r="V67" s="19"/>
      <c r="W67" s="19"/>
      <c r="X67" s="19"/>
      <c r="Y67" s="19"/>
      <c r="AA67" s="20"/>
      <c r="AB67" s="20"/>
      <c r="AC67" s="20"/>
    </row>
    <row r="68">
      <c r="A68" s="54" t="s">
        <v>43</v>
      </c>
      <c r="B68" s="55"/>
      <c r="C68" s="56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T68" s="19"/>
      <c r="U68" s="19"/>
      <c r="V68" s="19"/>
      <c r="W68" s="19"/>
      <c r="X68" s="19"/>
      <c r="Y68" s="19"/>
      <c r="AA68" s="20"/>
      <c r="AB68" s="20"/>
      <c r="AC68" s="20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T69" s="19"/>
      <c r="U69" s="19"/>
      <c r="V69" s="19"/>
      <c r="W69" s="19"/>
      <c r="X69" s="19"/>
      <c r="Y69" s="19"/>
      <c r="AA69" s="20"/>
      <c r="AB69" s="20"/>
      <c r="AC69" s="20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T70" s="19"/>
      <c r="U70" s="19"/>
      <c r="V70" s="19"/>
      <c r="W70" s="19"/>
      <c r="X70" s="19"/>
      <c r="Y70" s="19"/>
      <c r="AA70" s="20"/>
      <c r="AB70" s="20"/>
      <c r="AC70" s="20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T71" s="19"/>
      <c r="U71" s="19"/>
      <c r="V71" s="19"/>
      <c r="W71" s="19"/>
      <c r="X71" s="19"/>
      <c r="Y71" s="19"/>
      <c r="AA71" s="20"/>
      <c r="AB71" s="20"/>
      <c r="AC71" s="20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T72" s="19"/>
      <c r="U72" s="19"/>
      <c r="V72" s="19"/>
      <c r="W72" s="19"/>
      <c r="X72" s="19"/>
      <c r="Y72" s="19"/>
      <c r="AA72" s="20"/>
      <c r="AB72" s="20"/>
      <c r="AC72" s="20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T73" s="19"/>
      <c r="U73" s="19"/>
      <c r="V73" s="19"/>
      <c r="W73" s="19"/>
      <c r="X73" s="19"/>
      <c r="Y73" s="19"/>
      <c r="AA73" s="20"/>
      <c r="AB73" s="20"/>
      <c r="AC73" s="20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T74" s="19"/>
      <c r="U74" s="19"/>
      <c r="V74" s="19"/>
      <c r="W74" s="19"/>
      <c r="X74" s="19"/>
      <c r="Y74" s="19"/>
      <c r="AA74" s="20"/>
      <c r="AB74" s="20"/>
      <c r="AC74" s="20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T75" s="19"/>
      <c r="U75" s="19"/>
      <c r="V75" s="19"/>
      <c r="W75" s="19"/>
      <c r="X75" s="19"/>
      <c r="Y75" s="19"/>
      <c r="AA75" s="20"/>
      <c r="AB75" s="20"/>
      <c r="AC75" s="20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T76" s="19"/>
      <c r="U76" s="19"/>
      <c r="V76" s="19"/>
      <c r="W76" s="19"/>
      <c r="X76" s="19"/>
      <c r="Y76" s="19"/>
      <c r="AA76" s="20"/>
      <c r="AB76" s="20"/>
      <c r="AC76" s="20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T77" s="19"/>
      <c r="U77" s="19"/>
      <c r="V77" s="19"/>
      <c r="W77" s="19"/>
      <c r="X77" s="19"/>
      <c r="Y77" s="19"/>
      <c r="AA77" s="20"/>
      <c r="AB77" s="20"/>
      <c r="AC77" s="20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T78" s="19"/>
      <c r="U78" s="19"/>
      <c r="V78" s="19"/>
      <c r="W78" s="19"/>
      <c r="X78" s="19"/>
      <c r="Y78" s="19"/>
      <c r="AA78" s="20"/>
      <c r="AB78" s="20"/>
      <c r="AC78" s="20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T79" s="19"/>
      <c r="U79" s="19"/>
      <c r="V79" s="19"/>
      <c r="W79" s="19"/>
      <c r="X79" s="19"/>
      <c r="Y79" s="19"/>
      <c r="AA79" s="20"/>
      <c r="AB79" s="20"/>
      <c r="AC79" s="20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T80" s="19"/>
      <c r="U80" s="19"/>
      <c r="V80" s="19"/>
      <c r="W80" s="19"/>
      <c r="X80" s="19"/>
      <c r="Y80" s="19"/>
      <c r="AA80" s="20"/>
      <c r="AB80" s="20"/>
      <c r="AC80" s="20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T81" s="19"/>
      <c r="U81" s="19"/>
      <c r="V81" s="19"/>
      <c r="W81" s="19"/>
      <c r="X81" s="19"/>
      <c r="Y81" s="19"/>
      <c r="AA81" s="20"/>
      <c r="AB81" s="20"/>
      <c r="AC81" s="20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T82" s="19"/>
      <c r="U82" s="19"/>
      <c r="V82" s="19"/>
      <c r="W82" s="19"/>
      <c r="X82" s="19"/>
      <c r="Y82" s="19"/>
      <c r="AA82" s="20"/>
      <c r="AB82" s="20"/>
      <c r="AC82" s="20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T83" s="19"/>
      <c r="U83" s="19"/>
      <c r="V83" s="19"/>
      <c r="W83" s="19"/>
      <c r="X83" s="19"/>
      <c r="Y83" s="19"/>
      <c r="AA83" s="20"/>
      <c r="AB83" s="20"/>
      <c r="AC83" s="20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T84" s="19"/>
      <c r="U84" s="19"/>
      <c r="V84" s="19"/>
      <c r="W84" s="19"/>
      <c r="X84" s="19"/>
      <c r="Y84" s="19"/>
      <c r="AA84" s="20"/>
      <c r="AB84" s="20"/>
      <c r="AC84" s="20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T85" s="19"/>
      <c r="U85" s="19"/>
      <c r="V85" s="19"/>
      <c r="W85" s="19"/>
      <c r="X85" s="19"/>
      <c r="Y85" s="19"/>
      <c r="AA85" s="20"/>
      <c r="AB85" s="20"/>
      <c r="AC85" s="20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T86" s="19"/>
      <c r="U86" s="19"/>
      <c r="V86" s="19"/>
      <c r="W86" s="19"/>
      <c r="X86" s="19"/>
      <c r="Y86" s="19"/>
      <c r="AA86" s="20"/>
      <c r="AB86" s="20"/>
      <c r="AC86" s="20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T87" s="19"/>
      <c r="U87" s="19"/>
      <c r="V87" s="19"/>
      <c r="W87" s="19"/>
      <c r="X87" s="19"/>
      <c r="Y87" s="19"/>
      <c r="AA87" s="20"/>
      <c r="AB87" s="20"/>
      <c r="AC87" s="20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T88" s="19"/>
      <c r="U88" s="19"/>
      <c r="V88" s="19"/>
      <c r="W88" s="19"/>
      <c r="X88" s="19"/>
      <c r="Y88" s="19"/>
      <c r="AA88" s="20"/>
      <c r="AB88" s="20"/>
      <c r="AC88" s="20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T89" s="19"/>
      <c r="U89" s="19"/>
      <c r="V89" s="19"/>
      <c r="W89" s="19"/>
      <c r="X89" s="19"/>
      <c r="Y89" s="19"/>
      <c r="AA89" s="20"/>
      <c r="AB89" s="20"/>
      <c r="AC89" s="20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T90" s="19"/>
      <c r="U90" s="19"/>
      <c r="V90" s="19"/>
      <c r="W90" s="19"/>
      <c r="X90" s="19"/>
      <c r="Y90" s="19"/>
      <c r="AA90" s="20"/>
      <c r="AB90" s="20"/>
      <c r="AC90" s="20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T91" s="19"/>
      <c r="U91" s="19"/>
      <c r="V91" s="19"/>
      <c r="W91" s="19"/>
      <c r="X91" s="19"/>
      <c r="Y91" s="19"/>
      <c r="AA91" s="20"/>
      <c r="AB91" s="20"/>
      <c r="AC91" s="20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T92" s="19"/>
      <c r="U92" s="19"/>
      <c r="V92" s="19"/>
      <c r="W92" s="19"/>
      <c r="X92" s="19"/>
      <c r="Y92" s="19"/>
      <c r="AA92" s="20"/>
      <c r="AB92" s="20"/>
      <c r="AC92" s="20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T93" s="19"/>
      <c r="U93" s="19"/>
      <c r="V93" s="19"/>
      <c r="W93" s="19"/>
      <c r="X93" s="19"/>
      <c r="Y93" s="19"/>
      <c r="AA93" s="20"/>
      <c r="AB93" s="20"/>
      <c r="AC93" s="20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T94" s="19"/>
      <c r="U94" s="19"/>
      <c r="V94" s="19"/>
      <c r="W94" s="19"/>
      <c r="X94" s="19"/>
      <c r="Y94" s="19"/>
      <c r="AA94" s="20"/>
      <c r="AB94" s="20"/>
      <c r="AC94" s="20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T95" s="19"/>
      <c r="U95" s="19"/>
      <c r="V95" s="19"/>
      <c r="W95" s="19"/>
      <c r="X95" s="19"/>
      <c r="Y95" s="19"/>
      <c r="AA95" s="20"/>
      <c r="AB95" s="20"/>
      <c r="AC95" s="20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T96" s="19"/>
      <c r="U96" s="19"/>
      <c r="V96" s="19"/>
      <c r="W96" s="19"/>
      <c r="X96" s="19"/>
      <c r="Y96" s="19"/>
      <c r="AA96" s="20"/>
      <c r="AB96" s="20"/>
      <c r="AC96" s="20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T97" s="19"/>
      <c r="U97" s="19"/>
      <c r="V97" s="19"/>
      <c r="W97" s="19"/>
      <c r="X97" s="19"/>
      <c r="Y97" s="19"/>
      <c r="AA97" s="20"/>
      <c r="AB97" s="20"/>
      <c r="AC97" s="20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T98" s="19"/>
      <c r="U98" s="19"/>
      <c r="V98" s="19"/>
      <c r="W98" s="19"/>
      <c r="X98" s="19"/>
      <c r="Y98" s="19"/>
      <c r="AA98" s="20"/>
      <c r="AB98" s="20"/>
      <c r="AC98" s="20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T99" s="19"/>
      <c r="U99" s="19"/>
      <c r="V99" s="19"/>
      <c r="W99" s="19"/>
      <c r="X99" s="19"/>
      <c r="Y99" s="19"/>
      <c r="AA99" s="20"/>
      <c r="AB99" s="20"/>
      <c r="AC99" s="20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T100" s="19"/>
      <c r="U100" s="19"/>
      <c r="V100" s="19"/>
      <c r="W100" s="19"/>
      <c r="X100" s="19"/>
      <c r="Y100" s="19"/>
      <c r="AA100" s="20"/>
      <c r="AB100" s="20"/>
      <c r="AC100" s="20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T101" s="19"/>
      <c r="U101" s="19"/>
      <c r="V101" s="19"/>
      <c r="W101" s="19"/>
      <c r="X101" s="19"/>
      <c r="Y101" s="19"/>
      <c r="AA101" s="20"/>
      <c r="AB101" s="20"/>
      <c r="AC101" s="20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T102" s="19"/>
      <c r="U102" s="19"/>
      <c r="V102" s="19"/>
      <c r="W102" s="19"/>
      <c r="X102" s="19"/>
      <c r="Y102" s="19"/>
      <c r="AA102" s="20"/>
      <c r="AB102" s="20"/>
      <c r="AC102" s="20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T103" s="19"/>
      <c r="U103" s="19"/>
      <c r="V103" s="19"/>
      <c r="W103" s="19"/>
      <c r="X103" s="19"/>
      <c r="Y103" s="19"/>
      <c r="AA103" s="20"/>
      <c r="AB103" s="20"/>
      <c r="AC103" s="20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T104" s="19"/>
      <c r="U104" s="19"/>
      <c r="V104" s="19"/>
      <c r="W104" s="19"/>
      <c r="X104" s="19"/>
      <c r="Y104" s="19"/>
      <c r="AA104" s="20"/>
      <c r="AB104" s="20"/>
      <c r="AC104" s="20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T105" s="19"/>
      <c r="U105" s="19"/>
      <c r="V105" s="19"/>
      <c r="W105" s="19"/>
      <c r="X105" s="19"/>
      <c r="Y105" s="19"/>
      <c r="AA105" s="20"/>
      <c r="AB105" s="20"/>
      <c r="AC105" s="20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T106" s="19"/>
      <c r="U106" s="19"/>
      <c r="V106" s="19"/>
      <c r="W106" s="19"/>
      <c r="X106" s="19"/>
      <c r="Y106" s="19"/>
      <c r="AA106" s="20"/>
      <c r="AB106" s="20"/>
      <c r="AC106" s="20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T107" s="19"/>
      <c r="U107" s="19"/>
      <c r="V107" s="19"/>
      <c r="W107" s="19"/>
      <c r="X107" s="19"/>
      <c r="Y107" s="19"/>
      <c r="AA107" s="20"/>
      <c r="AB107" s="20"/>
      <c r="AC107" s="20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T108" s="19"/>
      <c r="U108" s="19"/>
      <c r="V108" s="19"/>
      <c r="W108" s="19"/>
      <c r="X108" s="19"/>
      <c r="Y108" s="19"/>
      <c r="AA108" s="20"/>
      <c r="AB108" s="20"/>
      <c r="AC108" s="20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T109" s="19"/>
      <c r="U109" s="19"/>
      <c r="V109" s="19"/>
      <c r="W109" s="19"/>
      <c r="X109" s="19"/>
      <c r="Y109" s="19"/>
      <c r="AA109" s="20"/>
      <c r="AB109" s="20"/>
      <c r="AC109" s="20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T110" s="19"/>
      <c r="U110" s="19"/>
      <c r="V110" s="19"/>
      <c r="W110" s="19"/>
      <c r="X110" s="19"/>
      <c r="Y110" s="19"/>
      <c r="AA110" s="20"/>
      <c r="AB110" s="20"/>
      <c r="AC110" s="20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T111" s="19"/>
      <c r="U111" s="19"/>
      <c r="V111" s="19"/>
      <c r="W111" s="19"/>
      <c r="X111" s="19"/>
      <c r="Y111" s="19"/>
      <c r="AA111" s="20"/>
      <c r="AB111" s="20"/>
      <c r="AC111" s="20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T112" s="19"/>
      <c r="U112" s="19"/>
      <c r="V112" s="19"/>
      <c r="W112" s="19"/>
      <c r="X112" s="19"/>
      <c r="Y112" s="19"/>
      <c r="AA112" s="20"/>
      <c r="AB112" s="20"/>
      <c r="AC112" s="20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T113" s="19"/>
      <c r="U113" s="19"/>
      <c r="V113" s="19"/>
      <c r="W113" s="19"/>
      <c r="X113" s="19"/>
      <c r="Y113" s="19"/>
      <c r="AA113" s="20"/>
      <c r="AB113" s="20"/>
      <c r="AC113" s="20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T114" s="19"/>
      <c r="U114" s="19"/>
      <c r="V114" s="19"/>
      <c r="W114" s="19"/>
      <c r="X114" s="19"/>
      <c r="Y114" s="19"/>
      <c r="AA114" s="20"/>
      <c r="AB114" s="20"/>
      <c r="AC114" s="20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T115" s="19"/>
      <c r="U115" s="19"/>
      <c r="V115" s="19"/>
      <c r="W115" s="19"/>
      <c r="X115" s="19"/>
      <c r="Y115" s="19"/>
      <c r="AA115" s="20"/>
      <c r="AB115" s="20"/>
      <c r="AC115" s="20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T116" s="19"/>
      <c r="U116" s="19"/>
      <c r="V116" s="19"/>
      <c r="W116" s="19"/>
      <c r="X116" s="19"/>
      <c r="Y116" s="19"/>
      <c r="AA116" s="20"/>
      <c r="AB116" s="20"/>
      <c r="AC116" s="20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T117" s="19"/>
      <c r="U117" s="19"/>
      <c r="V117" s="19"/>
      <c r="W117" s="19"/>
      <c r="X117" s="19"/>
      <c r="Y117" s="19"/>
      <c r="AA117" s="20"/>
      <c r="AB117" s="20"/>
      <c r="AC117" s="20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T118" s="19"/>
      <c r="U118" s="19"/>
      <c r="V118" s="19"/>
      <c r="W118" s="19"/>
      <c r="X118" s="19"/>
      <c r="Y118" s="19"/>
      <c r="AA118" s="20"/>
      <c r="AB118" s="20"/>
      <c r="AC118" s="20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T119" s="19"/>
      <c r="U119" s="19"/>
      <c r="V119" s="19"/>
      <c r="W119" s="19"/>
      <c r="X119" s="19"/>
      <c r="Y119" s="19"/>
      <c r="AA119" s="20"/>
      <c r="AB119" s="20"/>
      <c r="AC119" s="20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T120" s="19"/>
      <c r="U120" s="19"/>
      <c r="V120" s="19"/>
      <c r="W120" s="19"/>
      <c r="X120" s="19"/>
      <c r="Y120" s="19"/>
      <c r="AA120" s="20"/>
      <c r="AB120" s="20"/>
      <c r="AC120" s="20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T121" s="19"/>
      <c r="U121" s="19"/>
      <c r="V121" s="19"/>
      <c r="W121" s="19"/>
      <c r="X121" s="19"/>
      <c r="Y121" s="19"/>
      <c r="AA121" s="20"/>
      <c r="AB121" s="20"/>
      <c r="AC121" s="20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T122" s="19"/>
      <c r="U122" s="19"/>
      <c r="V122" s="19"/>
      <c r="W122" s="19"/>
      <c r="X122" s="19"/>
      <c r="Y122" s="19"/>
      <c r="AA122" s="20"/>
      <c r="AB122" s="20"/>
      <c r="AC122" s="20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T123" s="19"/>
      <c r="U123" s="19"/>
      <c r="V123" s="19"/>
      <c r="W123" s="19"/>
      <c r="X123" s="19"/>
      <c r="Y123" s="19"/>
      <c r="AA123" s="20"/>
      <c r="AB123" s="20"/>
      <c r="AC123" s="20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T124" s="19"/>
      <c r="U124" s="19"/>
      <c r="V124" s="19"/>
      <c r="W124" s="19"/>
      <c r="X124" s="19"/>
      <c r="Y124" s="19"/>
      <c r="AA124" s="20"/>
      <c r="AB124" s="20"/>
      <c r="AC124" s="20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T125" s="19"/>
      <c r="U125" s="19"/>
      <c r="V125" s="19"/>
      <c r="W125" s="19"/>
      <c r="X125" s="19"/>
      <c r="Y125" s="19"/>
      <c r="AA125" s="20"/>
      <c r="AB125" s="20"/>
      <c r="AC125" s="20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T126" s="19"/>
      <c r="U126" s="19"/>
      <c r="V126" s="19"/>
      <c r="W126" s="19"/>
      <c r="X126" s="19"/>
      <c r="Y126" s="19"/>
      <c r="AA126" s="20"/>
      <c r="AB126" s="20"/>
      <c r="AC126" s="20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T127" s="19"/>
      <c r="U127" s="19"/>
      <c r="V127" s="19"/>
      <c r="W127" s="19"/>
      <c r="X127" s="19"/>
      <c r="Y127" s="19"/>
      <c r="AA127" s="20"/>
      <c r="AB127" s="20"/>
      <c r="AC127" s="20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T128" s="19"/>
      <c r="U128" s="19"/>
      <c r="V128" s="19"/>
      <c r="W128" s="19"/>
      <c r="X128" s="19"/>
      <c r="Y128" s="19"/>
      <c r="AA128" s="20"/>
      <c r="AB128" s="20"/>
      <c r="AC128" s="20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T129" s="19"/>
      <c r="U129" s="19"/>
      <c r="V129" s="19"/>
      <c r="W129" s="19"/>
      <c r="X129" s="19"/>
      <c r="Y129" s="19"/>
      <c r="AA129" s="20"/>
      <c r="AB129" s="20"/>
      <c r="AC129" s="20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T130" s="19"/>
      <c r="U130" s="19"/>
      <c r="V130" s="19"/>
      <c r="W130" s="19"/>
      <c r="X130" s="19"/>
      <c r="Y130" s="19"/>
      <c r="AA130" s="20"/>
      <c r="AB130" s="20"/>
      <c r="AC130" s="20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T131" s="19"/>
      <c r="U131" s="19"/>
      <c r="V131" s="19"/>
      <c r="W131" s="19"/>
      <c r="X131" s="19"/>
      <c r="Y131" s="19"/>
      <c r="AA131" s="20"/>
      <c r="AB131" s="20"/>
      <c r="AC131" s="20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T132" s="19"/>
      <c r="U132" s="19"/>
      <c r="V132" s="19"/>
      <c r="W132" s="19"/>
      <c r="X132" s="19"/>
      <c r="Y132" s="19"/>
      <c r="AA132" s="20"/>
      <c r="AB132" s="20"/>
      <c r="AC132" s="20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T133" s="19"/>
      <c r="U133" s="19"/>
      <c r="V133" s="19"/>
      <c r="W133" s="19"/>
      <c r="X133" s="19"/>
      <c r="Y133" s="19"/>
      <c r="AA133" s="20"/>
      <c r="AB133" s="20"/>
      <c r="AC133" s="20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T134" s="19"/>
      <c r="U134" s="19"/>
      <c r="V134" s="19"/>
      <c r="W134" s="19"/>
      <c r="X134" s="19"/>
      <c r="Y134" s="19"/>
      <c r="AA134" s="20"/>
      <c r="AB134" s="20"/>
      <c r="AC134" s="20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T135" s="19"/>
      <c r="U135" s="19"/>
      <c r="V135" s="19"/>
      <c r="W135" s="19"/>
      <c r="X135" s="19"/>
      <c r="Y135" s="19"/>
      <c r="AA135" s="20"/>
      <c r="AB135" s="20"/>
      <c r="AC135" s="20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T136" s="19"/>
      <c r="U136" s="19"/>
      <c r="V136" s="19"/>
      <c r="W136" s="19"/>
      <c r="X136" s="19"/>
      <c r="Y136" s="19"/>
      <c r="AA136" s="20"/>
      <c r="AB136" s="20"/>
      <c r="AC136" s="20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T137" s="19"/>
      <c r="U137" s="19"/>
      <c r="V137" s="19"/>
      <c r="W137" s="19"/>
      <c r="X137" s="19"/>
      <c r="Y137" s="19"/>
      <c r="AA137" s="20"/>
      <c r="AB137" s="20"/>
      <c r="AC137" s="20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T138" s="19"/>
      <c r="U138" s="19"/>
      <c r="V138" s="19"/>
      <c r="W138" s="19"/>
      <c r="X138" s="19"/>
      <c r="Y138" s="19"/>
      <c r="AA138" s="20"/>
      <c r="AB138" s="20"/>
      <c r="AC138" s="20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T139" s="19"/>
      <c r="U139" s="19"/>
      <c r="V139" s="19"/>
      <c r="W139" s="19"/>
      <c r="X139" s="19"/>
      <c r="Y139" s="19"/>
      <c r="AA139" s="20"/>
      <c r="AB139" s="20"/>
      <c r="AC139" s="20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T140" s="19"/>
      <c r="U140" s="19"/>
      <c r="V140" s="19"/>
      <c r="W140" s="19"/>
      <c r="X140" s="19"/>
      <c r="Y140" s="19"/>
      <c r="AA140" s="20"/>
      <c r="AB140" s="20"/>
      <c r="AC140" s="20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T141" s="19"/>
      <c r="U141" s="19"/>
      <c r="V141" s="19"/>
      <c r="W141" s="19"/>
      <c r="X141" s="19"/>
      <c r="Y141" s="19"/>
      <c r="AA141" s="20"/>
      <c r="AB141" s="20"/>
      <c r="AC141" s="20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T142" s="19"/>
      <c r="U142" s="19"/>
      <c r="V142" s="19"/>
      <c r="W142" s="19"/>
      <c r="X142" s="19"/>
      <c r="Y142" s="19"/>
      <c r="AA142" s="20"/>
      <c r="AB142" s="20"/>
      <c r="AC142" s="20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T143" s="19"/>
      <c r="U143" s="19"/>
      <c r="V143" s="19"/>
      <c r="W143" s="19"/>
      <c r="X143" s="19"/>
      <c r="Y143" s="19"/>
      <c r="AA143" s="20"/>
      <c r="AB143" s="20"/>
      <c r="AC143" s="20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T144" s="19"/>
      <c r="U144" s="19"/>
      <c r="V144" s="19"/>
      <c r="W144" s="19"/>
      <c r="X144" s="19"/>
      <c r="Y144" s="19"/>
      <c r="AA144" s="20"/>
      <c r="AB144" s="20"/>
      <c r="AC144" s="20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T145" s="19"/>
      <c r="U145" s="19"/>
      <c r="V145" s="19"/>
      <c r="W145" s="19"/>
      <c r="X145" s="19"/>
      <c r="Y145" s="19"/>
      <c r="AA145" s="20"/>
      <c r="AB145" s="20"/>
      <c r="AC145" s="20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T146" s="19"/>
      <c r="U146" s="19"/>
      <c r="V146" s="19"/>
      <c r="W146" s="19"/>
      <c r="X146" s="19"/>
      <c r="Y146" s="19"/>
      <c r="AA146" s="20"/>
      <c r="AB146" s="20"/>
      <c r="AC146" s="20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T147" s="19"/>
      <c r="U147" s="19"/>
      <c r="V147" s="19"/>
      <c r="W147" s="19"/>
      <c r="X147" s="19"/>
      <c r="Y147" s="19"/>
      <c r="AA147" s="20"/>
      <c r="AB147" s="20"/>
      <c r="AC147" s="20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T148" s="19"/>
      <c r="U148" s="19"/>
      <c r="V148" s="19"/>
      <c r="W148" s="19"/>
      <c r="X148" s="19"/>
      <c r="Y148" s="19"/>
      <c r="AA148" s="20"/>
      <c r="AB148" s="20"/>
      <c r="AC148" s="20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T149" s="19"/>
      <c r="U149" s="19"/>
      <c r="V149" s="19"/>
      <c r="W149" s="19"/>
      <c r="X149" s="19"/>
      <c r="Y149" s="19"/>
      <c r="AA149" s="20"/>
      <c r="AB149" s="20"/>
      <c r="AC149" s="20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T150" s="19"/>
      <c r="U150" s="19"/>
      <c r="V150" s="19"/>
      <c r="W150" s="19"/>
      <c r="X150" s="19"/>
      <c r="Y150" s="19"/>
      <c r="AA150" s="20"/>
      <c r="AB150" s="20"/>
      <c r="AC150" s="20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T151" s="19"/>
      <c r="U151" s="19"/>
      <c r="V151" s="19"/>
      <c r="W151" s="19"/>
      <c r="X151" s="19"/>
      <c r="Y151" s="19"/>
      <c r="AA151" s="20"/>
      <c r="AB151" s="20"/>
      <c r="AC151" s="20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T152" s="19"/>
      <c r="U152" s="19"/>
      <c r="V152" s="19"/>
      <c r="W152" s="19"/>
      <c r="X152" s="19"/>
      <c r="Y152" s="19"/>
      <c r="AA152" s="20"/>
      <c r="AB152" s="20"/>
      <c r="AC152" s="20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T153" s="19"/>
      <c r="U153" s="19"/>
      <c r="V153" s="19"/>
      <c r="W153" s="19"/>
      <c r="X153" s="19"/>
      <c r="Y153" s="19"/>
      <c r="AA153" s="20"/>
      <c r="AB153" s="20"/>
      <c r="AC153" s="20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T154" s="19"/>
      <c r="U154" s="19"/>
      <c r="V154" s="19"/>
      <c r="W154" s="19"/>
      <c r="X154" s="19"/>
      <c r="Y154" s="19"/>
      <c r="AA154" s="20"/>
      <c r="AB154" s="20"/>
      <c r="AC154" s="20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T155" s="19"/>
      <c r="U155" s="19"/>
      <c r="V155" s="19"/>
      <c r="W155" s="19"/>
      <c r="X155" s="19"/>
      <c r="Y155" s="19"/>
      <c r="AA155" s="20"/>
      <c r="AB155" s="20"/>
      <c r="AC155" s="20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T156" s="19"/>
      <c r="U156" s="19"/>
      <c r="V156" s="19"/>
      <c r="W156" s="19"/>
      <c r="X156" s="19"/>
      <c r="Y156" s="19"/>
      <c r="AA156" s="20"/>
      <c r="AB156" s="20"/>
      <c r="AC156" s="20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T157" s="19"/>
      <c r="U157" s="19"/>
      <c r="V157" s="19"/>
      <c r="W157" s="19"/>
      <c r="X157" s="19"/>
      <c r="Y157" s="19"/>
      <c r="AA157" s="20"/>
      <c r="AB157" s="20"/>
      <c r="AC157" s="20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T158" s="19"/>
      <c r="U158" s="19"/>
      <c r="V158" s="19"/>
      <c r="W158" s="19"/>
      <c r="X158" s="19"/>
      <c r="Y158" s="19"/>
      <c r="AA158" s="20"/>
      <c r="AB158" s="20"/>
      <c r="AC158" s="20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T159" s="19"/>
      <c r="U159" s="19"/>
      <c r="V159" s="19"/>
      <c r="W159" s="19"/>
      <c r="X159" s="19"/>
      <c r="Y159" s="19"/>
      <c r="AA159" s="20"/>
      <c r="AB159" s="20"/>
      <c r="AC159" s="20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T160" s="19"/>
      <c r="U160" s="19"/>
      <c r="V160" s="19"/>
      <c r="W160" s="19"/>
      <c r="X160" s="19"/>
      <c r="Y160" s="19"/>
      <c r="AA160" s="20"/>
      <c r="AB160" s="20"/>
      <c r="AC160" s="20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T161" s="19"/>
      <c r="U161" s="19"/>
      <c r="V161" s="19"/>
      <c r="W161" s="19"/>
      <c r="X161" s="19"/>
      <c r="Y161" s="19"/>
      <c r="AA161" s="20"/>
      <c r="AB161" s="20"/>
      <c r="AC161" s="20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T162" s="19"/>
      <c r="U162" s="19"/>
      <c r="V162" s="19"/>
      <c r="W162" s="19"/>
      <c r="X162" s="19"/>
      <c r="Y162" s="19"/>
      <c r="AA162" s="20"/>
      <c r="AB162" s="20"/>
      <c r="AC162" s="20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T163" s="19"/>
      <c r="U163" s="19"/>
      <c r="V163" s="19"/>
      <c r="W163" s="19"/>
      <c r="X163" s="19"/>
      <c r="Y163" s="19"/>
      <c r="AA163" s="20"/>
      <c r="AB163" s="20"/>
      <c r="AC163" s="20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T164" s="19"/>
      <c r="U164" s="19"/>
      <c r="V164" s="19"/>
      <c r="W164" s="19"/>
      <c r="X164" s="19"/>
      <c r="Y164" s="19"/>
      <c r="AA164" s="20"/>
      <c r="AB164" s="20"/>
      <c r="AC164" s="20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T165" s="19"/>
      <c r="U165" s="19"/>
      <c r="V165" s="19"/>
      <c r="W165" s="19"/>
      <c r="X165" s="19"/>
      <c r="Y165" s="19"/>
      <c r="AA165" s="20"/>
      <c r="AB165" s="20"/>
      <c r="AC165" s="20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T166" s="19"/>
      <c r="U166" s="19"/>
      <c r="V166" s="19"/>
      <c r="W166" s="19"/>
      <c r="X166" s="19"/>
      <c r="Y166" s="19"/>
      <c r="AA166" s="20"/>
      <c r="AB166" s="20"/>
      <c r="AC166" s="20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T167" s="19"/>
      <c r="U167" s="19"/>
      <c r="V167" s="19"/>
      <c r="W167" s="19"/>
      <c r="X167" s="19"/>
      <c r="Y167" s="19"/>
      <c r="AA167" s="20"/>
      <c r="AB167" s="20"/>
      <c r="AC167" s="20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T168" s="19"/>
      <c r="U168" s="19"/>
      <c r="V168" s="19"/>
      <c r="W168" s="19"/>
      <c r="X168" s="19"/>
      <c r="Y168" s="19"/>
      <c r="AA168" s="20"/>
      <c r="AB168" s="20"/>
      <c r="AC168" s="20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T169" s="19"/>
      <c r="U169" s="19"/>
      <c r="V169" s="19"/>
      <c r="W169" s="19"/>
      <c r="X169" s="19"/>
      <c r="Y169" s="19"/>
      <c r="AA169" s="20"/>
      <c r="AB169" s="20"/>
      <c r="AC169" s="20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T170" s="19"/>
      <c r="U170" s="19"/>
      <c r="V170" s="19"/>
      <c r="W170" s="19"/>
      <c r="X170" s="19"/>
      <c r="Y170" s="19"/>
      <c r="AA170" s="20"/>
      <c r="AB170" s="20"/>
      <c r="AC170" s="20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T171" s="19"/>
      <c r="U171" s="19"/>
      <c r="V171" s="19"/>
      <c r="W171" s="19"/>
      <c r="X171" s="19"/>
      <c r="Y171" s="19"/>
      <c r="AA171" s="20"/>
      <c r="AB171" s="20"/>
      <c r="AC171" s="20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T172" s="19"/>
      <c r="U172" s="19"/>
      <c r="V172" s="19"/>
      <c r="W172" s="19"/>
      <c r="X172" s="19"/>
      <c r="Y172" s="19"/>
      <c r="AA172" s="20"/>
      <c r="AB172" s="20"/>
      <c r="AC172" s="20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T173" s="19"/>
      <c r="U173" s="19"/>
      <c r="V173" s="19"/>
      <c r="W173" s="19"/>
      <c r="X173" s="19"/>
      <c r="Y173" s="19"/>
      <c r="AA173" s="20"/>
      <c r="AB173" s="20"/>
      <c r="AC173" s="20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T174" s="19"/>
      <c r="U174" s="19"/>
      <c r="V174" s="19"/>
      <c r="W174" s="19"/>
      <c r="X174" s="19"/>
      <c r="Y174" s="19"/>
      <c r="AA174" s="20"/>
      <c r="AB174" s="20"/>
      <c r="AC174" s="20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T175" s="19"/>
      <c r="U175" s="19"/>
      <c r="V175" s="19"/>
      <c r="W175" s="19"/>
      <c r="X175" s="19"/>
      <c r="Y175" s="19"/>
      <c r="AA175" s="20"/>
      <c r="AB175" s="20"/>
      <c r="AC175" s="20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T176" s="19"/>
      <c r="U176" s="19"/>
      <c r="V176" s="19"/>
      <c r="W176" s="19"/>
      <c r="X176" s="19"/>
      <c r="Y176" s="19"/>
      <c r="AA176" s="20"/>
      <c r="AB176" s="20"/>
      <c r="AC176" s="20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T177" s="19"/>
      <c r="U177" s="19"/>
      <c r="V177" s="19"/>
      <c r="W177" s="19"/>
      <c r="X177" s="19"/>
      <c r="Y177" s="19"/>
      <c r="AA177" s="20"/>
      <c r="AB177" s="20"/>
      <c r="AC177" s="20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T178" s="19"/>
      <c r="U178" s="19"/>
      <c r="V178" s="19"/>
      <c r="W178" s="19"/>
      <c r="X178" s="19"/>
      <c r="Y178" s="19"/>
      <c r="AA178" s="20"/>
      <c r="AB178" s="20"/>
      <c r="AC178" s="20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T179" s="19"/>
      <c r="U179" s="19"/>
      <c r="V179" s="19"/>
      <c r="W179" s="19"/>
      <c r="X179" s="19"/>
      <c r="Y179" s="19"/>
      <c r="AA179" s="20"/>
      <c r="AB179" s="20"/>
      <c r="AC179" s="20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T180" s="19"/>
      <c r="U180" s="19"/>
      <c r="V180" s="19"/>
      <c r="W180" s="19"/>
      <c r="X180" s="19"/>
      <c r="Y180" s="19"/>
      <c r="AA180" s="20"/>
      <c r="AB180" s="20"/>
      <c r="AC180" s="20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T181" s="19"/>
      <c r="U181" s="19"/>
      <c r="V181" s="19"/>
      <c r="W181" s="19"/>
      <c r="X181" s="19"/>
      <c r="Y181" s="19"/>
      <c r="AA181" s="20"/>
      <c r="AB181" s="20"/>
      <c r="AC181" s="20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T182" s="19"/>
      <c r="U182" s="19"/>
      <c r="V182" s="19"/>
      <c r="W182" s="19"/>
      <c r="X182" s="19"/>
      <c r="Y182" s="19"/>
      <c r="AA182" s="20"/>
      <c r="AB182" s="20"/>
      <c r="AC182" s="20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T183" s="19"/>
      <c r="U183" s="19"/>
      <c r="V183" s="19"/>
      <c r="W183" s="19"/>
      <c r="X183" s="19"/>
      <c r="Y183" s="19"/>
      <c r="AA183" s="20"/>
      <c r="AB183" s="20"/>
      <c r="AC183" s="20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T184" s="19"/>
      <c r="U184" s="19"/>
      <c r="V184" s="19"/>
      <c r="W184" s="19"/>
      <c r="X184" s="19"/>
      <c r="Y184" s="19"/>
      <c r="AA184" s="20"/>
      <c r="AB184" s="20"/>
      <c r="AC184" s="20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T185" s="19"/>
      <c r="U185" s="19"/>
      <c r="V185" s="19"/>
      <c r="W185" s="19"/>
      <c r="X185" s="19"/>
      <c r="Y185" s="19"/>
      <c r="AA185" s="20"/>
      <c r="AB185" s="20"/>
      <c r="AC185" s="20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T186" s="19"/>
      <c r="U186" s="19"/>
      <c r="V186" s="19"/>
      <c r="W186" s="19"/>
      <c r="X186" s="19"/>
      <c r="Y186" s="19"/>
      <c r="AA186" s="20"/>
      <c r="AB186" s="20"/>
      <c r="AC186" s="20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T187" s="19"/>
      <c r="U187" s="19"/>
      <c r="V187" s="19"/>
      <c r="W187" s="19"/>
      <c r="X187" s="19"/>
      <c r="Y187" s="19"/>
      <c r="AA187" s="20"/>
      <c r="AB187" s="20"/>
      <c r="AC187" s="20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T188" s="19"/>
      <c r="U188" s="19"/>
      <c r="V188" s="19"/>
      <c r="W188" s="19"/>
      <c r="X188" s="19"/>
      <c r="Y188" s="19"/>
      <c r="AA188" s="20"/>
      <c r="AB188" s="20"/>
      <c r="AC188" s="20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T189" s="19"/>
      <c r="U189" s="19"/>
      <c r="V189" s="19"/>
      <c r="W189" s="19"/>
      <c r="X189" s="19"/>
      <c r="Y189" s="19"/>
      <c r="AA189" s="20"/>
      <c r="AB189" s="20"/>
      <c r="AC189" s="20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T190" s="19"/>
      <c r="U190" s="19"/>
      <c r="V190" s="19"/>
      <c r="W190" s="19"/>
      <c r="X190" s="19"/>
      <c r="Y190" s="19"/>
      <c r="AA190" s="20"/>
      <c r="AB190" s="20"/>
      <c r="AC190" s="20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T191" s="19"/>
      <c r="U191" s="19"/>
      <c r="V191" s="19"/>
      <c r="W191" s="19"/>
      <c r="X191" s="19"/>
      <c r="Y191" s="19"/>
      <c r="AA191" s="20"/>
      <c r="AB191" s="20"/>
      <c r="AC191" s="20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T192" s="19"/>
      <c r="U192" s="19"/>
      <c r="V192" s="19"/>
      <c r="W192" s="19"/>
      <c r="X192" s="19"/>
      <c r="Y192" s="19"/>
      <c r="AA192" s="20"/>
      <c r="AB192" s="20"/>
      <c r="AC192" s="20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T193" s="19"/>
      <c r="U193" s="19"/>
      <c r="V193" s="19"/>
      <c r="W193" s="19"/>
      <c r="X193" s="19"/>
      <c r="Y193" s="19"/>
      <c r="AA193" s="20"/>
      <c r="AB193" s="20"/>
      <c r="AC193" s="20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T194" s="19"/>
      <c r="U194" s="19"/>
      <c r="V194" s="19"/>
      <c r="W194" s="19"/>
      <c r="X194" s="19"/>
      <c r="Y194" s="19"/>
      <c r="AA194" s="20"/>
      <c r="AB194" s="20"/>
      <c r="AC194" s="20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T195" s="19"/>
      <c r="U195" s="19"/>
      <c r="V195" s="19"/>
      <c r="W195" s="19"/>
      <c r="X195" s="19"/>
      <c r="Y195" s="19"/>
      <c r="AA195" s="20"/>
      <c r="AB195" s="20"/>
      <c r="AC195" s="20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T196" s="19"/>
      <c r="U196" s="19"/>
      <c r="V196" s="19"/>
      <c r="W196" s="19"/>
      <c r="X196" s="19"/>
      <c r="Y196" s="19"/>
      <c r="AA196" s="20"/>
      <c r="AB196" s="20"/>
      <c r="AC196" s="20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T197" s="19"/>
      <c r="U197" s="19"/>
      <c r="V197" s="19"/>
      <c r="W197" s="19"/>
      <c r="X197" s="19"/>
      <c r="Y197" s="19"/>
      <c r="AA197" s="20"/>
      <c r="AB197" s="20"/>
      <c r="AC197" s="20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T198" s="19"/>
      <c r="U198" s="19"/>
      <c r="V198" s="19"/>
      <c r="W198" s="19"/>
      <c r="X198" s="19"/>
      <c r="Y198" s="19"/>
      <c r="AA198" s="20"/>
      <c r="AB198" s="20"/>
      <c r="AC198" s="20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T199" s="19"/>
      <c r="U199" s="19"/>
      <c r="V199" s="19"/>
      <c r="W199" s="19"/>
      <c r="X199" s="19"/>
      <c r="Y199" s="19"/>
      <c r="AA199" s="20"/>
      <c r="AB199" s="20"/>
      <c r="AC199" s="20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T200" s="19"/>
      <c r="U200" s="19"/>
      <c r="V200" s="19"/>
      <c r="W200" s="19"/>
      <c r="X200" s="19"/>
      <c r="Y200" s="19"/>
      <c r="AA200" s="20"/>
      <c r="AB200" s="20"/>
      <c r="AC200" s="20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T201" s="19"/>
      <c r="U201" s="19"/>
      <c r="V201" s="19"/>
      <c r="W201" s="19"/>
      <c r="X201" s="19"/>
      <c r="Y201" s="19"/>
      <c r="AA201" s="20"/>
      <c r="AB201" s="20"/>
      <c r="AC201" s="20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T202" s="19"/>
      <c r="U202" s="19"/>
      <c r="V202" s="19"/>
      <c r="W202" s="19"/>
      <c r="X202" s="19"/>
      <c r="Y202" s="19"/>
      <c r="AA202" s="20"/>
      <c r="AB202" s="20"/>
      <c r="AC202" s="20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T203" s="19"/>
      <c r="U203" s="19"/>
      <c r="V203" s="19"/>
      <c r="W203" s="19"/>
      <c r="X203" s="19"/>
      <c r="Y203" s="19"/>
      <c r="AA203" s="20"/>
      <c r="AB203" s="20"/>
      <c r="AC203" s="20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T204" s="19"/>
      <c r="U204" s="19"/>
      <c r="V204" s="19"/>
      <c r="W204" s="19"/>
      <c r="X204" s="19"/>
      <c r="Y204" s="19"/>
      <c r="AA204" s="20"/>
      <c r="AB204" s="20"/>
      <c r="AC204" s="20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T205" s="19"/>
      <c r="U205" s="19"/>
      <c r="V205" s="19"/>
      <c r="W205" s="19"/>
      <c r="X205" s="19"/>
      <c r="Y205" s="19"/>
      <c r="AA205" s="20"/>
      <c r="AB205" s="20"/>
      <c r="AC205" s="20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T206" s="19"/>
      <c r="U206" s="19"/>
      <c r="V206" s="19"/>
      <c r="W206" s="19"/>
      <c r="X206" s="19"/>
      <c r="Y206" s="19"/>
      <c r="AA206" s="20"/>
      <c r="AB206" s="20"/>
      <c r="AC206" s="20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T207" s="19"/>
      <c r="U207" s="19"/>
      <c r="V207" s="19"/>
      <c r="W207" s="19"/>
      <c r="X207" s="19"/>
      <c r="Y207" s="19"/>
      <c r="AA207" s="20"/>
      <c r="AB207" s="20"/>
      <c r="AC207" s="20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T208" s="19"/>
      <c r="U208" s="19"/>
      <c r="V208" s="19"/>
      <c r="W208" s="19"/>
      <c r="X208" s="19"/>
      <c r="Y208" s="19"/>
      <c r="AA208" s="20"/>
      <c r="AB208" s="20"/>
      <c r="AC208" s="20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T209" s="19"/>
      <c r="U209" s="19"/>
      <c r="V209" s="19"/>
      <c r="W209" s="19"/>
      <c r="X209" s="19"/>
      <c r="Y209" s="19"/>
      <c r="AA209" s="20"/>
      <c r="AB209" s="20"/>
      <c r="AC209" s="20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T210" s="19"/>
      <c r="U210" s="19"/>
      <c r="V210" s="19"/>
      <c r="W210" s="19"/>
      <c r="X210" s="19"/>
      <c r="Y210" s="19"/>
      <c r="AA210" s="20"/>
      <c r="AB210" s="20"/>
      <c r="AC210" s="20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T211" s="19"/>
      <c r="U211" s="19"/>
      <c r="V211" s="19"/>
      <c r="W211" s="19"/>
      <c r="X211" s="19"/>
      <c r="Y211" s="19"/>
      <c r="AA211" s="20"/>
      <c r="AB211" s="20"/>
      <c r="AC211" s="20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T212" s="19"/>
      <c r="U212" s="19"/>
      <c r="V212" s="19"/>
      <c r="W212" s="19"/>
      <c r="X212" s="19"/>
      <c r="Y212" s="19"/>
      <c r="AA212" s="20"/>
      <c r="AB212" s="20"/>
      <c r="AC212" s="20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T213" s="19"/>
      <c r="U213" s="19"/>
      <c r="V213" s="19"/>
      <c r="W213" s="19"/>
      <c r="X213" s="19"/>
      <c r="Y213" s="19"/>
      <c r="AA213" s="20"/>
      <c r="AB213" s="20"/>
      <c r="AC213" s="20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T214" s="19"/>
      <c r="U214" s="19"/>
      <c r="V214" s="19"/>
      <c r="W214" s="19"/>
      <c r="X214" s="19"/>
      <c r="Y214" s="19"/>
      <c r="AA214" s="20"/>
      <c r="AB214" s="20"/>
      <c r="AC214" s="20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T215" s="19"/>
      <c r="U215" s="19"/>
      <c r="V215" s="19"/>
      <c r="W215" s="19"/>
      <c r="X215" s="19"/>
      <c r="Y215" s="19"/>
      <c r="AA215" s="20"/>
      <c r="AB215" s="20"/>
      <c r="AC215" s="20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T216" s="19"/>
      <c r="U216" s="19"/>
      <c r="V216" s="19"/>
      <c r="W216" s="19"/>
      <c r="X216" s="19"/>
      <c r="Y216" s="19"/>
      <c r="AA216" s="20"/>
      <c r="AB216" s="20"/>
      <c r="AC216" s="20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T217" s="19"/>
      <c r="U217" s="19"/>
      <c r="V217" s="19"/>
      <c r="W217" s="19"/>
      <c r="X217" s="19"/>
      <c r="Y217" s="19"/>
      <c r="AA217" s="20"/>
      <c r="AB217" s="20"/>
      <c r="AC217" s="20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T218" s="19"/>
      <c r="U218" s="19"/>
      <c r="V218" s="19"/>
      <c r="W218" s="19"/>
      <c r="X218" s="19"/>
      <c r="Y218" s="19"/>
      <c r="AA218" s="20"/>
      <c r="AB218" s="20"/>
      <c r="AC218" s="20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T219" s="19"/>
      <c r="U219" s="19"/>
      <c r="V219" s="19"/>
      <c r="W219" s="19"/>
      <c r="X219" s="19"/>
      <c r="Y219" s="19"/>
      <c r="AA219" s="20"/>
      <c r="AB219" s="20"/>
      <c r="AC219" s="20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T220" s="19"/>
      <c r="U220" s="19"/>
      <c r="V220" s="19"/>
      <c r="W220" s="19"/>
      <c r="X220" s="19"/>
      <c r="Y220" s="19"/>
      <c r="AA220" s="20"/>
      <c r="AB220" s="20"/>
      <c r="AC220" s="20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T221" s="19"/>
      <c r="U221" s="19"/>
      <c r="V221" s="19"/>
      <c r="W221" s="19"/>
      <c r="X221" s="19"/>
      <c r="Y221" s="19"/>
      <c r="AA221" s="20"/>
      <c r="AB221" s="20"/>
      <c r="AC221" s="20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T222" s="19"/>
      <c r="U222" s="19"/>
      <c r="V222" s="19"/>
      <c r="W222" s="19"/>
      <c r="X222" s="19"/>
      <c r="Y222" s="19"/>
      <c r="AA222" s="20"/>
      <c r="AB222" s="20"/>
      <c r="AC222" s="20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T223" s="19"/>
      <c r="U223" s="19"/>
      <c r="V223" s="19"/>
      <c r="W223" s="19"/>
      <c r="X223" s="19"/>
      <c r="Y223" s="19"/>
      <c r="AA223" s="20"/>
      <c r="AB223" s="20"/>
      <c r="AC223" s="20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T224" s="19"/>
      <c r="U224" s="19"/>
      <c r="V224" s="19"/>
      <c r="W224" s="19"/>
      <c r="X224" s="19"/>
      <c r="Y224" s="19"/>
      <c r="AA224" s="20"/>
      <c r="AB224" s="20"/>
      <c r="AC224" s="20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T225" s="19"/>
      <c r="U225" s="19"/>
      <c r="V225" s="19"/>
      <c r="W225" s="19"/>
      <c r="X225" s="19"/>
      <c r="Y225" s="19"/>
      <c r="AA225" s="20"/>
      <c r="AB225" s="20"/>
      <c r="AC225" s="20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T226" s="19"/>
      <c r="U226" s="19"/>
      <c r="V226" s="19"/>
      <c r="W226" s="19"/>
      <c r="X226" s="19"/>
      <c r="Y226" s="19"/>
      <c r="AA226" s="20"/>
      <c r="AB226" s="20"/>
      <c r="AC226" s="20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T227" s="19"/>
      <c r="U227" s="19"/>
      <c r="V227" s="19"/>
      <c r="W227" s="19"/>
      <c r="X227" s="19"/>
      <c r="Y227" s="19"/>
      <c r="AA227" s="20"/>
      <c r="AB227" s="20"/>
      <c r="AC227" s="20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T228" s="19"/>
      <c r="U228" s="19"/>
      <c r="V228" s="19"/>
      <c r="W228" s="19"/>
      <c r="X228" s="19"/>
      <c r="Y228" s="19"/>
      <c r="AA228" s="20"/>
      <c r="AB228" s="20"/>
      <c r="AC228" s="20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T229" s="19"/>
      <c r="U229" s="19"/>
      <c r="V229" s="19"/>
      <c r="W229" s="19"/>
      <c r="X229" s="19"/>
      <c r="Y229" s="19"/>
      <c r="AA229" s="20"/>
      <c r="AB229" s="20"/>
      <c r="AC229" s="20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T230" s="19"/>
      <c r="U230" s="19"/>
      <c r="V230" s="19"/>
      <c r="W230" s="19"/>
      <c r="X230" s="19"/>
      <c r="Y230" s="19"/>
      <c r="AA230" s="20"/>
      <c r="AB230" s="20"/>
      <c r="AC230" s="20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T231" s="19"/>
      <c r="U231" s="19"/>
      <c r="V231" s="19"/>
      <c r="W231" s="19"/>
      <c r="X231" s="19"/>
      <c r="Y231" s="19"/>
      <c r="AA231" s="20"/>
      <c r="AB231" s="20"/>
      <c r="AC231" s="20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T232" s="19"/>
      <c r="U232" s="19"/>
      <c r="V232" s="19"/>
      <c r="W232" s="19"/>
      <c r="X232" s="19"/>
      <c r="Y232" s="19"/>
      <c r="AA232" s="20"/>
      <c r="AB232" s="20"/>
      <c r="AC232" s="20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T233" s="19"/>
      <c r="U233" s="19"/>
      <c r="V233" s="19"/>
      <c r="W233" s="19"/>
      <c r="X233" s="19"/>
      <c r="Y233" s="19"/>
      <c r="AA233" s="20"/>
      <c r="AB233" s="20"/>
      <c r="AC233" s="20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T234" s="19"/>
      <c r="U234" s="19"/>
      <c r="V234" s="19"/>
      <c r="W234" s="19"/>
      <c r="X234" s="19"/>
      <c r="Y234" s="19"/>
      <c r="AA234" s="20"/>
      <c r="AB234" s="20"/>
      <c r="AC234" s="20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T235" s="19"/>
      <c r="U235" s="19"/>
      <c r="V235" s="19"/>
      <c r="W235" s="19"/>
      <c r="X235" s="19"/>
      <c r="Y235" s="19"/>
      <c r="AA235" s="20"/>
      <c r="AB235" s="20"/>
      <c r="AC235" s="20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T236" s="19"/>
      <c r="U236" s="19"/>
      <c r="V236" s="19"/>
      <c r="W236" s="19"/>
      <c r="X236" s="19"/>
      <c r="Y236" s="19"/>
      <c r="AA236" s="20"/>
      <c r="AB236" s="20"/>
      <c r="AC236" s="20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T237" s="19"/>
      <c r="U237" s="19"/>
      <c r="V237" s="19"/>
      <c r="W237" s="19"/>
      <c r="X237" s="19"/>
      <c r="Y237" s="19"/>
      <c r="AA237" s="20"/>
      <c r="AB237" s="20"/>
      <c r="AC237" s="20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T238" s="19"/>
      <c r="U238" s="19"/>
      <c r="V238" s="19"/>
      <c r="W238" s="19"/>
      <c r="X238" s="19"/>
      <c r="Y238" s="19"/>
      <c r="AA238" s="20"/>
      <c r="AB238" s="20"/>
      <c r="AC238" s="20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T239" s="19"/>
      <c r="U239" s="19"/>
      <c r="V239" s="19"/>
      <c r="W239" s="19"/>
      <c r="X239" s="19"/>
      <c r="Y239" s="19"/>
      <c r="AA239" s="20"/>
      <c r="AB239" s="20"/>
      <c r="AC239" s="20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T240" s="19"/>
      <c r="U240" s="19"/>
      <c r="V240" s="19"/>
      <c r="W240" s="19"/>
      <c r="X240" s="19"/>
      <c r="Y240" s="19"/>
      <c r="AA240" s="20"/>
      <c r="AB240" s="20"/>
      <c r="AC240" s="20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T241" s="19"/>
      <c r="U241" s="19"/>
      <c r="V241" s="19"/>
      <c r="W241" s="19"/>
      <c r="X241" s="19"/>
      <c r="Y241" s="19"/>
      <c r="AA241" s="20"/>
      <c r="AB241" s="20"/>
      <c r="AC241" s="20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T242" s="19"/>
      <c r="U242" s="19"/>
      <c r="V242" s="19"/>
      <c r="W242" s="19"/>
      <c r="X242" s="19"/>
      <c r="Y242" s="19"/>
      <c r="AA242" s="20"/>
      <c r="AB242" s="20"/>
      <c r="AC242" s="20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T243" s="19"/>
      <c r="U243" s="19"/>
      <c r="V243" s="19"/>
      <c r="W243" s="19"/>
      <c r="X243" s="19"/>
      <c r="Y243" s="19"/>
      <c r="AA243" s="20"/>
      <c r="AB243" s="20"/>
      <c r="AC243" s="20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T244" s="19"/>
      <c r="U244" s="19"/>
      <c r="V244" s="19"/>
      <c r="W244" s="19"/>
      <c r="X244" s="19"/>
      <c r="Y244" s="19"/>
      <c r="AA244" s="20"/>
      <c r="AB244" s="20"/>
      <c r="AC244" s="20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T245" s="19"/>
      <c r="U245" s="19"/>
      <c r="V245" s="19"/>
      <c r="W245" s="19"/>
      <c r="X245" s="19"/>
      <c r="Y245" s="19"/>
      <c r="AA245" s="20"/>
      <c r="AB245" s="20"/>
      <c r="AC245" s="20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T246" s="19"/>
      <c r="U246" s="19"/>
      <c r="V246" s="19"/>
      <c r="W246" s="19"/>
      <c r="X246" s="19"/>
      <c r="Y246" s="19"/>
      <c r="AA246" s="20"/>
      <c r="AB246" s="20"/>
      <c r="AC246" s="20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T247" s="19"/>
      <c r="U247" s="19"/>
      <c r="V247" s="19"/>
      <c r="W247" s="19"/>
      <c r="X247" s="19"/>
      <c r="Y247" s="19"/>
      <c r="AA247" s="20"/>
      <c r="AB247" s="20"/>
      <c r="AC247" s="20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T248" s="19"/>
      <c r="U248" s="19"/>
      <c r="V248" s="19"/>
      <c r="W248" s="19"/>
      <c r="X248" s="19"/>
      <c r="Y248" s="19"/>
      <c r="AA248" s="20"/>
      <c r="AB248" s="20"/>
      <c r="AC248" s="20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T249" s="19"/>
      <c r="U249" s="19"/>
      <c r="V249" s="19"/>
      <c r="W249" s="19"/>
      <c r="X249" s="19"/>
      <c r="Y249" s="19"/>
      <c r="AA249" s="20"/>
      <c r="AB249" s="20"/>
      <c r="AC249" s="20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T250" s="19"/>
      <c r="U250" s="19"/>
      <c r="V250" s="19"/>
      <c r="W250" s="19"/>
      <c r="X250" s="19"/>
      <c r="Y250" s="19"/>
      <c r="AA250" s="20"/>
      <c r="AB250" s="20"/>
      <c r="AC250" s="20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T251" s="19"/>
      <c r="U251" s="19"/>
      <c r="V251" s="19"/>
      <c r="W251" s="19"/>
      <c r="X251" s="19"/>
      <c r="Y251" s="19"/>
      <c r="AA251" s="20"/>
      <c r="AB251" s="20"/>
      <c r="AC251" s="20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T252" s="19"/>
      <c r="U252" s="19"/>
      <c r="V252" s="19"/>
      <c r="W252" s="19"/>
      <c r="X252" s="19"/>
      <c r="Y252" s="19"/>
      <c r="AA252" s="20"/>
      <c r="AB252" s="20"/>
      <c r="AC252" s="20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T253" s="19"/>
      <c r="U253" s="19"/>
      <c r="V253" s="19"/>
      <c r="W253" s="19"/>
      <c r="X253" s="19"/>
      <c r="Y253" s="19"/>
      <c r="AA253" s="20"/>
      <c r="AB253" s="20"/>
      <c r="AC253" s="20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T254" s="19"/>
      <c r="U254" s="19"/>
      <c r="V254" s="19"/>
      <c r="W254" s="19"/>
      <c r="X254" s="19"/>
      <c r="Y254" s="19"/>
      <c r="AA254" s="20"/>
      <c r="AB254" s="20"/>
      <c r="AC254" s="20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T255" s="19"/>
      <c r="U255" s="19"/>
      <c r="V255" s="19"/>
      <c r="W255" s="19"/>
      <c r="X255" s="19"/>
      <c r="Y255" s="19"/>
      <c r="AA255" s="20"/>
      <c r="AB255" s="20"/>
      <c r="AC255" s="20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T256" s="19"/>
      <c r="U256" s="19"/>
      <c r="V256" s="19"/>
      <c r="W256" s="19"/>
      <c r="X256" s="19"/>
      <c r="Y256" s="19"/>
      <c r="AA256" s="20"/>
      <c r="AB256" s="20"/>
      <c r="AC256" s="20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T257" s="19"/>
      <c r="U257" s="19"/>
      <c r="V257" s="19"/>
      <c r="W257" s="19"/>
      <c r="X257" s="19"/>
      <c r="Y257" s="19"/>
      <c r="AA257" s="20"/>
      <c r="AB257" s="20"/>
      <c r="AC257" s="20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T258" s="19"/>
      <c r="U258" s="19"/>
      <c r="V258" s="19"/>
      <c r="W258" s="19"/>
      <c r="X258" s="19"/>
      <c r="Y258" s="19"/>
      <c r="AA258" s="20"/>
      <c r="AB258" s="20"/>
      <c r="AC258" s="20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T259" s="19"/>
      <c r="U259" s="19"/>
      <c r="V259" s="19"/>
      <c r="W259" s="19"/>
      <c r="X259" s="19"/>
      <c r="Y259" s="19"/>
      <c r="AA259" s="20"/>
      <c r="AB259" s="20"/>
      <c r="AC259" s="20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T260" s="19"/>
      <c r="U260" s="19"/>
      <c r="V260" s="19"/>
      <c r="W260" s="19"/>
      <c r="X260" s="19"/>
      <c r="Y260" s="19"/>
      <c r="AA260" s="20"/>
      <c r="AB260" s="20"/>
      <c r="AC260" s="20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T261" s="19"/>
      <c r="U261" s="19"/>
      <c r="V261" s="19"/>
      <c r="W261" s="19"/>
      <c r="X261" s="19"/>
      <c r="Y261" s="19"/>
      <c r="AA261" s="20"/>
      <c r="AB261" s="20"/>
      <c r="AC261" s="20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T262" s="19"/>
      <c r="U262" s="19"/>
      <c r="V262" s="19"/>
      <c r="W262" s="19"/>
      <c r="X262" s="19"/>
      <c r="Y262" s="19"/>
      <c r="AA262" s="20"/>
      <c r="AB262" s="20"/>
      <c r="AC262" s="20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T263" s="19"/>
      <c r="U263" s="19"/>
      <c r="V263" s="19"/>
      <c r="W263" s="19"/>
      <c r="X263" s="19"/>
      <c r="Y263" s="19"/>
      <c r="AA263" s="20"/>
      <c r="AB263" s="20"/>
      <c r="AC263" s="20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T264" s="19"/>
      <c r="U264" s="19"/>
      <c r="V264" s="19"/>
      <c r="W264" s="19"/>
      <c r="X264" s="19"/>
      <c r="Y264" s="19"/>
      <c r="AA264" s="20"/>
      <c r="AB264" s="20"/>
      <c r="AC264" s="20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T265" s="19"/>
      <c r="U265" s="19"/>
      <c r="V265" s="19"/>
      <c r="W265" s="19"/>
      <c r="X265" s="19"/>
      <c r="Y265" s="19"/>
      <c r="AA265" s="20"/>
      <c r="AB265" s="20"/>
      <c r="AC265" s="20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T266" s="19"/>
      <c r="U266" s="19"/>
      <c r="V266" s="19"/>
      <c r="W266" s="19"/>
      <c r="X266" s="19"/>
      <c r="Y266" s="19"/>
      <c r="AA266" s="20"/>
      <c r="AB266" s="20"/>
      <c r="AC266" s="20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T267" s="19"/>
      <c r="U267" s="19"/>
      <c r="V267" s="19"/>
      <c r="W267" s="19"/>
      <c r="X267" s="19"/>
      <c r="Y267" s="19"/>
      <c r="AA267" s="20"/>
      <c r="AB267" s="20"/>
      <c r="AC267" s="20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T268" s="19"/>
      <c r="U268" s="19"/>
      <c r="V268" s="19"/>
      <c r="W268" s="19"/>
      <c r="X268" s="19"/>
      <c r="Y268" s="19"/>
      <c r="AA268" s="20"/>
      <c r="AB268" s="20"/>
      <c r="AC268" s="20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T269" s="19"/>
      <c r="U269" s="19"/>
      <c r="V269" s="19"/>
      <c r="W269" s="19"/>
      <c r="X269" s="19"/>
      <c r="Y269" s="19"/>
      <c r="AA269" s="20"/>
      <c r="AB269" s="20"/>
      <c r="AC269" s="20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T270" s="19"/>
      <c r="U270" s="19"/>
      <c r="V270" s="19"/>
      <c r="W270" s="19"/>
      <c r="X270" s="19"/>
      <c r="Y270" s="19"/>
      <c r="AA270" s="20"/>
      <c r="AB270" s="20"/>
      <c r="AC270" s="20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T271" s="19"/>
      <c r="U271" s="19"/>
      <c r="V271" s="19"/>
      <c r="W271" s="19"/>
      <c r="X271" s="19"/>
      <c r="Y271" s="19"/>
      <c r="AA271" s="20"/>
      <c r="AB271" s="20"/>
      <c r="AC271" s="20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T272" s="19"/>
      <c r="U272" s="19"/>
      <c r="V272" s="19"/>
      <c r="W272" s="19"/>
      <c r="X272" s="19"/>
      <c r="Y272" s="19"/>
      <c r="AA272" s="20"/>
      <c r="AB272" s="20"/>
      <c r="AC272" s="20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T273" s="19"/>
      <c r="U273" s="19"/>
      <c r="V273" s="19"/>
      <c r="W273" s="19"/>
      <c r="X273" s="19"/>
      <c r="Y273" s="19"/>
      <c r="AA273" s="20"/>
      <c r="AB273" s="20"/>
      <c r="AC273" s="20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T274" s="19"/>
      <c r="U274" s="19"/>
      <c r="V274" s="19"/>
      <c r="W274" s="19"/>
      <c r="X274" s="19"/>
      <c r="Y274" s="19"/>
      <c r="AA274" s="20"/>
      <c r="AB274" s="20"/>
      <c r="AC274" s="20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T275" s="19"/>
      <c r="U275" s="19"/>
      <c r="V275" s="19"/>
      <c r="W275" s="19"/>
      <c r="X275" s="19"/>
      <c r="Y275" s="19"/>
      <c r="AA275" s="20"/>
      <c r="AB275" s="20"/>
      <c r="AC275" s="20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T276" s="19"/>
      <c r="U276" s="19"/>
      <c r="V276" s="19"/>
      <c r="W276" s="19"/>
      <c r="X276" s="19"/>
      <c r="Y276" s="19"/>
      <c r="AA276" s="20"/>
      <c r="AB276" s="20"/>
      <c r="AC276" s="20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T277" s="19"/>
      <c r="U277" s="19"/>
      <c r="V277" s="19"/>
      <c r="W277" s="19"/>
      <c r="X277" s="19"/>
      <c r="Y277" s="19"/>
      <c r="AA277" s="20"/>
      <c r="AB277" s="20"/>
      <c r="AC277" s="20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T278" s="19"/>
      <c r="U278" s="19"/>
      <c r="V278" s="19"/>
      <c r="W278" s="19"/>
      <c r="X278" s="19"/>
      <c r="Y278" s="19"/>
      <c r="AA278" s="20"/>
      <c r="AB278" s="20"/>
      <c r="AC278" s="20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T279" s="19"/>
      <c r="U279" s="19"/>
      <c r="V279" s="19"/>
      <c r="W279" s="19"/>
      <c r="X279" s="19"/>
      <c r="Y279" s="19"/>
      <c r="AA279" s="20"/>
      <c r="AB279" s="20"/>
      <c r="AC279" s="20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T280" s="19"/>
      <c r="U280" s="19"/>
      <c r="V280" s="19"/>
      <c r="W280" s="19"/>
      <c r="X280" s="19"/>
      <c r="Y280" s="19"/>
      <c r="AA280" s="20"/>
      <c r="AB280" s="20"/>
      <c r="AC280" s="20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</row>
  </sheetData>
  <conditionalFormatting sqref="A1:C1 Q1:Q169 R1:W280 X1:Y1 A3:C3 X3:Y280 Z3:AA3 AB3:AG280 A33:N33 A35:N35 A37:N37">
    <cfRule type="containsText" dxfId="0" priority="1" operator="containsText" text="Match found">
      <formula>NOT(ISERROR(SEARCH(("Match found"),(A1))))</formula>
    </cfRule>
  </conditionalFormatting>
  <hyperlinks>
    <hyperlink display="Input positions for SASA MDs" location="SASA_MD!A1" ref="A68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25"/>
    <col customWidth="1" min="3" max="3" width="13.38"/>
    <col customWidth="1" min="4" max="4" width="10.5"/>
    <col customWidth="1" min="5" max="5" width="13.0"/>
    <col customWidth="1" min="6" max="6" width="10.38"/>
    <col customWidth="1" min="7" max="7" width="11.38"/>
    <col customWidth="1" min="8" max="8" width="10.25"/>
    <col customWidth="1" min="9" max="9" width="16.63"/>
    <col customWidth="1" min="10" max="10" width="15.5"/>
    <col customWidth="1" min="11" max="11" width="12.0"/>
    <col customWidth="1" min="12" max="12" width="10.5"/>
    <col customWidth="1" min="13" max="13" width="8.25"/>
    <col customWidth="1" min="14" max="14" width="13.0"/>
    <col customWidth="1" min="15" max="15" width="14.0"/>
    <col customWidth="1" min="16" max="16" width="15.38"/>
    <col customWidth="1" min="17" max="17" width="15.63"/>
    <col customWidth="1" min="18" max="18" width="16.38"/>
    <col customWidth="1" min="19" max="19" width="16.75"/>
    <col customWidth="1" min="20" max="20" width="18.0"/>
    <col customWidth="1" min="21" max="21" width="18.25"/>
    <col customWidth="1" min="22" max="22" width="16.63"/>
    <col customWidth="1" min="25" max="25" width="14.5"/>
  </cols>
  <sheetData>
    <row r="1">
      <c r="A1" s="3" t="s">
        <v>27</v>
      </c>
      <c r="I1" s="58"/>
      <c r="Q1" s="3" t="s">
        <v>28</v>
      </c>
      <c r="R1" s="4"/>
      <c r="S1" s="4"/>
      <c r="W1" s="5"/>
      <c r="X1" s="6"/>
      <c r="Z1" s="7"/>
      <c r="AB1" s="8"/>
    </row>
    <row r="2">
      <c r="A2" s="2" t="s">
        <v>29</v>
      </c>
    </row>
    <row r="3">
      <c r="A3" s="9" t="s">
        <v>30</v>
      </c>
      <c r="B3" s="9"/>
      <c r="C3" s="9"/>
      <c r="D3" s="10"/>
      <c r="E3" s="10"/>
      <c r="F3" s="11" t="s">
        <v>31</v>
      </c>
      <c r="G3" s="11"/>
      <c r="H3" s="11"/>
      <c r="I3" s="10"/>
      <c r="J3" s="10"/>
      <c r="K3" s="11" t="s">
        <v>32</v>
      </c>
      <c r="L3" s="11"/>
      <c r="M3" s="11"/>
      <c r="N3" s="10"/>
      <c r="O3" s="10"/>
      <c r="Q3" s="12" t="s">
        <v>30</v>
      </c>
      <c r="R3" s="11" t="s">
        <v>31</v>
      </c>
      <c r="S3" s="11" t="s">
        <v>32</v>
      </c>
      <c r="T3" s="11" t="s">
        <v>33</v>
      </c>
      <c r="U3" s="13" t="s">
        <v>34</v>
      </c>
      <c r="V3" s="14" t="s">
        <v>35</v>
      </c>
      <c r="W3" s="59"/>
      <c r="X3" s="15"/>
      <c r="Y3" s="15"/>
    </row>
    <row r="4">
      <c r="A4" s="16" t="s">
        <v>36</v>
      </c>
      <c r="B4" s="17" t="s">
        <v>37</v>
      </c>
      <c r="C4" s="17" t="s">
        <v>38</v>
      </c>
      <c r="D4" s="17" t="s">
        <v>39</v>
      </c>
      <c r="E4" s="18" t="s">
        <v>40</v>
      </c>
      <c r="F4" s="16" t="s">
        <v>36</v>
      </c>
      <c r="G4" s="17" t="s">
        <v>37</v>
      </c>
      <c r="H4" s="17" t="s">
        <v>38</v>
      </c>
      <c r="I4" s="17" t="s">
        <v>39</v>
      </c>
      <c r="J4" s="18" t="s">
        <v>40</v>
      </c>
      <c r="K4" s="16" t="s">
        <v>36</v>
      </c>
      <c r="L4" s="17" t="s">
        <v>37</v>
      </c>
      <c r="M4" s="17" t="s">
        <v>38</v>
      </c>
      <c r="N4" s="17" t="s">
        <v>39</v>
      </c>
      <c r="O4" s="18" t="s">
        <v>40</v>
      </c>
      <c r="Q4" s="44" t="s">
        <v>44</v>
      </c>
      <c r="R4" s="44" t="s">
        <v>47</v>
      </c>
      <c r="S4" s="57" t="s">
        <v>44</v>
      </c>
      <c r="T4" s="57" t="s">
        <v>48</v>
      </c>
      <c r="U4" s="57" t="s">
        <v>48</v>
      </c>
      <c r="V4" s="57" t="s">
        <v>44</v>
      </c>
      <c r="W4" s="19"/>
      <c r="X4" s="19"/>
      <c r="Y4" s="19"/>
      <c r="AA4" s="60"/>
      <c r="AB4" s="60"/>
      <c r="AC4" s="20"/>
    </row>
    <row r="5">
      <c r="A5" s="61">
        <v>-3.729</v>
      </c>
      <c r="B5" s="62">
        <v>-19.76</v>
      </c>
      <c r="C5" s="62">
        <v>11.9</v>
      </c>
      <c r="D5" s="22" t="s">
        <v>9</v>
      </c>
      <c r="E5" s="23">
        <v>-0.237</v>
      </c>
      <c r="F5" s="21">
        <v>0.002</v>
      </c>
      <c r="G5" s="22">
        <v>8.532</v>
      </c>
      <c r="H5" s="22">
        <v>-28.916</v>
      </c>
      <c r="I5" s="22" t="s">
        <v>16</v>
      </c>
      <c r="J5" s="23">
        <v>-1.253</v>
      </c>
      <c r="K5" s="21">
        <v>-10.935</v>
      </c>
      <c r="L5" s="22">
        <v>-7.346</v>
      </c>
      <c r="M5" s="22">
        <v>-3.22</v>
      </c>
      <c r="N5" s="22" t="s">
        <v>5</v>
      </c>
      <c r="O5" s="23">
        <v>-1.589</v>
      </c>
      <c r="Q5" s="63" t="s">
        <v>44</v>
      </c>
      <c r="R5" s="63" t="s">
        <v>49</v>
      </c>
      <c r="S5" s="63" t="s">
        <v>44</v>
      </c>
      <c r="T5" s="57" t="s">
        <v>50</v>
      </c>
      <c r="U5" s="57" t="s">
        <v>50</v>
      </c>
      <c r="V5" s="57" t="s">
        <v>44</v>
      </c>
      <c r="W5" s="19"/>
      <c r="X5" s="19"/>
      <c r="Y5" s="19"/>
      <c r="AA5" s="60"/>
      <c r="AE5" s="20"/>
    </row>
    <row r="6">
      <c r="A6" s="64">
        <v>-3.586</v>
      </c>
      <c r="B6" s="65">
        <v>-21.55</v>
      </c>
      <c r="C6" s="65">
        <v>11.4</v>
      </c>
      <c r="D6" s="25" t="s">
        <v>11</v>
      </c>
      <c r="E6" s="26">
        <v>-0.228</v>
      </c>
      <c r="F6" s="24">
        <v>5.911</v>
      </c>
      <c r="G6" s="25">
        <v>11.342</v>
      </c>
      <c r="H6" s="25">
        <v>-6.985</v>
      </c>
      <c r="I6" s="25" t="s">
        <v>12</v>
      </c>
      <c r="J6" s="26">
        <v>-1.138</v>
      </c>
      <c r="K6" s="24">
        <v>26.377</v>
      </c>
      <c r="L6" s="25">
        <v>-4.196</v>
      </c>
      <c r="M6" s="25">
        <v>-22.038</v>
      </c>
      <c r="N6" s="25" t="s">
        <v>8</v>
      </c>
      <c r="O6" s="26">
        <v>-1.569</v>
      </c>
      <c r="Q6" s="66"/>
      <c r="R6" s="66"/>
      <c r="S6" s="66"/>
      <c r="T6" s="19"/>
      <c r="U6" s="19"/>
      <c r="V6" s="19"/>
      <c r="W6" s="19"/>
      <c r="X6" s="19"/>
      <c r="Y6" s="19"/>
      <c r="AA6" s="60"/>
      <c r="AB6" s="60"/>
      <c r="AC6" s="20"/>
    </row>
    <row r="7">
      <c r="A7" s="64">
        <v>4.813</v>
      </c>
      <c r="B7" s="65">
        <v>16.312</v>
      </c>
      <c r="C7" s="65">
        <v>16.693</v>
      </c>
      <c r="D7" s="25" t="s">
        <v>2</v>
      </c>
      <c r="E7" s="26">
        <v>-0.222</v>
      </c>
      <c r="F7" s="24">
        <v>21.556</v>
      </c>
      <c r="G7" s="25">
        <v>3.709</v>
      </c>
      <c r="H7" s="25">
        <v>-15.273</v>
      </c>
      <c r="I7" s="25" t="s">
        <v>14</v>
      </c>
      <c r="J7" s="26">
        <v>-1.104</v>
      </c>
      <c r="K7" s="24">
        <v>-10.503</v>
      </c>
      <c r="L7" s="25">
        <v>-1.545</v>
      </c>
      <c r="M7" s="25">
        <v>0.821</v>
      </c>
      <c r="N7" s="25" t="s">
        <v>4</v>
      </c>
      <c r="O7" s="26">
        <v>-1.401</v>
      </c>
      <c r="Q7" s="66"/>
      <c r="R7" s="66"/>
      <c r="S7" s="66"/>
      <c r="T7" s="19"/>
      <c r="U7" s="19"/>
      <c r="V7" s="19"/>
      <c r="W7" s="19"/>
      <c r="X7" s="19"/>
      <c r="Y7" s="19"/>
      <c r="AA7" s="60"/>
      <c r="AB7" s="60"/>
      <c r="AC7" s="20"/>
    </row>
    <row r="8">
      <c r="A8" s="64">
        <v>-4.084</v>
      </c>
      <c r="B8" s="65">
        <v>-20.034</v>
      </c>
      <c r="C8" s="65">
        <v>12.731</v>
      </c>
      <c r="D8" s="25" t="s">
        <v>2</v>
      </c>
      <c r="E8" s="26">
        <v>-0.216</v>
      </c>
      <c r="F8" s="24">
        <v>18.789</v>
      </c>
      <c r="G8" s="25">
        <v>-8.132</v>
      </c>
      <c r="H8" s="25">
        <v>-23.611</v>
      </c>
      <c r="I8" s="25" t="s">
        <v>8</v>
      </c>
      <c r="J8" s="26">
        <v>-1.089</v>
      </c>
      <c r="K8" s="24">
        <v>0.795</v>
      </c>
      <c r="L8" s="25">
        <v>5.201</v>
      </c>
      <c r="M8" s="25">
        <v>-32.382</v>
      </c>
      <c r="N8" s="25" t="s">
        <v>8</v>
      </c>
      <c r="O8" s="26">
        <v>-1.4</v>
      </c>
      <c r="Q8" s="66"/>
      <c r="R8" s="66"/>
      <c r="S8" s="66"/>
      <c r="T8" s="19"/>
      <c r="U8" s="19"/>
      <c r="V8" s="19"/>
      <c r="W8" s="19"/>
      <c r="X8" s="19"/>
      <c r="Y8" s="19"/>
      <c r="AA8" s="60"/>
      <c r="AB8" s="60"/>
      <c r="AC8" s="20"/>
    </row>
    <row r="9">
      <c r="A9" s="64">
        <v>-4.03</v>
      </c>
      <c r="B9" s="65">
        <v>-19.438</v>
      </c>
      <c r="C9" s="65">
        <v>11.595</v>
      </c>
      <c r="D9" s="25" t="s">
        <v>16</v>
      </c>
      <c r="E9" s="26">
        <v>-0.212</v>
      </c>
      <c r="F9" s="24">
        <v>5.235</v>
      </c>
      <c r="G9" s="25">
        <v>15.647</v>
      </c>
      <c r="H9" s="25">
        <v>-15.623</v>
      </c>
      <c r="I9" s="25" t="s">
        <v>2</v>
      </c>
      <c r="J9" s="26">
        <v>-1.08</v>
      </c>
      <c r="K9" s="24">
        <v>-14.523</v>
      </c>
      <c r="L9" s="25">
        <v>11.708</v>
      </c>
      <c r="M9" s="25">
        <v>-10.924</v>
      </c>
      <c r="N9" s="25" t="s">
        <v>14</v>
      </c>
      <c r="O9" s="26">
        <v>-1.348</v>
      </c>
      <c r="Q9" s="66"/>
      <c r="R9" s="66"/>
      <c r="S9" s="66"/>
      <c r="T9" s="19"/>
      <c r="U9" s="19"/>
      <c r="V9" s="19"/>
      <c r="W9" s="19"/>
      <c r="X9" s="19"/>
      <c r="Y9" s="19"/>
      <c r="AA9" s="60"/>
      <c r="AB9" s="60"/>
      <c r="AC9" s="20"/>
    </row>
    <row r="10">
      <c r="A10" s="64">
        <v>4.024</v>
      </c>
      <c r="B10" s="65">
        <v>16.585</v>
      </c>
      <c r="C10" s="65">
        <v>16.112</v>
      </c>
      <c r="D10" s="25" t="s">
        <v>5</v>
      </c>
      <c r="E10" s="26">
        <v>-0.211</v>
      </c>
      <c r="F10" s="24">
        <v>7.552</v>
      </c>
      <c r="G10" s="25">
        <v>8.409</v>
      </c>
      <c r="H10" s="25">
        <v>-7.333</v>
      </c>
      <c r="I10" s="25" t="s">
        <v>6</v>
      </c>
      <c r="J10" s="26">
        <v>-1.072</v>
      </c>
      <c r="K10" s="24">
        <v>-1.168</v>
      </c>
      <c r="L10" s="25">
        <v>5.341</v>
      </c>
      <c r="M10" s="25">
        <v>32.213</v>
      </c>
      <c r="N10" s="25" t="s">
        <v>7</v>
      </c>
      <c r="O10" s="26">
        <v>-1.298</v>
      </c>
      <c r="Q10" s="66"/>
      <c r="R10" s="66"/>
      <c r="S10" s="66"/>
      <c r="T10" s="19"/>
      <c r="U10" s="19"/>
      <c r="V10" s="19"/>
      <c r="W10" s="19"/>
      <c r="X10" s="19"/>
      <c r="Y10" s="19"/>
      <c r="AA10" s="60"/>
      <c r="AB10" s="60"/>
      <c r="AC10" s="20"/>
    </row>
    <row r="11">
      <c r="A11" s="64">
        <v>-0.617</v>
      </c>
      <c r="B11" s="65">
        <v>23.108</v>
      </c>
      <c r="C11" s="65">
        <v>-4.446</v>
      </c>
      <c r="D11" s="25" t="s">
        <v>10</v>
      </c>
      <c r="E11" s="26">
        <v>-0.201</v>
      </c>
      <c r="F11" s="24">
        <v>-0.599</v>
      </c>
      <c r="G11" s="25">
        <v>14.803</v>
      </c>
      <c r="H11" s="25">
        <v>-22.887</v>
      </c>
      <c r="I11" s="25" t="s">
        <v>7</v>
      </c>
      <c r="J11" s="26">
        <v>-1.065</v>
      </c>
      <c r="K11" s="24">
        <v>4.912</v>
      </c>
      <c r="L11" s="25">
        <v>19.526</v>
      </c>
      <c r="M11" s="25">
        <v>-17.455</v>
      </c>
      <c r="N11" s="25" t="s">
        <v>8</v>
      </c>
      <c r="O11" s="26">
        <v>-1.29</v>
      </c>
      <c r="Q11" s="66"/>
      <c r="R11" s="66"/>
      <c r="S11" s="66"/>
      <c r="T11" s="19"/>
      <c r="U11" s="19"/>
      <c r="V11" s="19"/>
      <c r="W11" s="19"/>
      <c r="X11" s="19"/>
      <c r="Y11" s="19"/>
      <c r="AA11" s="60"/>
      <c r="AB11" s="60"/>
      <c r="AC11" s="20"/>
    </row>
    <row r="12">
      <c r="A12" s="64">
        <v>-0.72</v>
      </c>
      <c r="B12" s="65">
        <v>23.256</v>
      </c>
      <c r="C12" s="65">
        <v>-4.537</v>
      </c>
      <c r="D12" s="29" t="s">
        <v>10</v>
      </c>
      <c r="E12" s="30">
        <v>-0.199</v>
      </c>
      <c r="F12" s="24">
        <v>-4.847</v>
      </c>
      <c r="G12" s="25">
        <v>10.322</v>
      </c>
      <c r="H12" s="25">
        <v>26.19</v>
      </c>
      <c r="I12" s="25" t="s">
        <v>2</v>
      </c>
      <c r="J12" s="26">
        <v>-1.051</v>
      </c>
      <c r="K12" s="24">
        <v>-0.631</v>
      </c>
      <c r="L12" s="25">
        <v>21.659</v>
      </c>
      <c r="M12" s="25">
        <v>-19.098</v>
      </c>
      <c r="N12" s="25" t="s">
        <v>14</v>
      </c>
      <c r="O12" s="26">
        <v>-1.252</v>
      </c>
      <c r="Q12" s="66"/>
      <c r="R12" s="66"/>
      <c r="S12" s="66"/>
      <c r="T12" s="19"/>
      <c r="U12" s="19"/>
      <c r="V12" s="19"/>
      <c r="W12" s="19"/>
      <c r="X12" s="19"/>
      <c r="Y12" s="19"/>
      <c r="AA12" s="60"/>
      <c r="AB12" s="60"/>
      <c r="AC12" s="20"/>
    </row>
    <row r="13">
      <c r="A13" s="64">
        <v>24.488</v>
      </c>
      <c r="B13" s="65">
        <v>3.627</v>
      </c>
      <c r="C13" s="65">
        <v>-8.765</v>
      </c>
      <c r="D13" s="29" t="s">
        <v>13</v>
      </c>
      <c r="E13" s="30">
        <v>-0.184</v>
      </c>
      <c r="F13" s="24">
        <v>-0.496</v>
      </c>
      <c r="G13" s="25">
        <v>14.748</v>
      </c>
      <c r="H13" s="25">
        <v>-22.891</v>
      </c>
      <c r="I13" s="25" t="s">
        <v>13</v>
      </c>
      <c r="J13" s="26">
        <v>-1.048</v>
      </c>
      <c r="K13" s="24">
        <v>17.812</v>
      </c>
      <c r="L13" s="25">
        <v>-14.415</v>
      </c>
      <c r="M13" s="25">
        <v>3.003</v>
      </c>
      <c r="N13" s="25" t="s">
        <v>8</v>
      </c>
      <c r="O13" s="26">
        <v>-1.249</v>
      </c>
      <c r="Q13" s="66"/>
      <c r="R13" s="66"/>
      <c r="S13" s="66"/>
      <c r="T13" s="19"/>
      <c r="U13" s="19"/>
      <c r="V13" s="19"/>
      <c r="W13" s="19"/>
      <c r="X13" s="19"/>
      <c r="Y13" s="19"/>
      <c r="AA13" s="60"/>
      <c r="AB13" s="60"/>
      <c r="AC13" s="20"/>
    </row>
    <row r="14">
      <c r="A14" s="64">
        <v>24.458</v>
      </c>
      <c r="B14" s="65">
        <v>4.436</v>
      </c>
      <c r="C14" s="65">
        <v>-7.894</v>
      </c>
      <c r="D14" s="29" t="s">
        <v>7</v>
      </c>
      <c r="E14" s="30">
        <v>-0.181</v>
      </c>
      <c r="F14" s="24">
        <v>-1.098</v>
      </c>
      <c r="G14" s="25">
        <v>12.937</v>
      </c>
      <c r="H14" s="25">
        <v>-2.146</v>
      </c>
      <c r="I14" s="25" t="s">
        <v>17</v>
      </c>
      <c r="J14" s="26">
        <v>-1.03</v>
      </c>
      <c r="K14" s="24">
        <v>-16.115</v>
      </c>
      <c r="L14" s="25">
        <v>3.199</v>
      </c>
      <c r="M14" s="25">
        <v>-23.657</v>
      </c>
      <c r="N14" s="25" t="s">
        <v>14</v>
      </c>
      <c r="O14" s="26">
        <v>-1.236</v>
      </c>
      <c r="Q14" s="66"/>
      <c r="R14" s="66"/>
      <c r="S14" s="66"/>
      <c r="T14" s="19"/>
      <c r="U14" s="19"/>
      <c r="V14" s="19"/>
      <c r="W14" s="19"/>
      <c r="X14" s="19"/>
      <c r="Y14" s="19"/>
      <c r="AA14" s="60"/>
      <c r="AB14" s="60"/>
      <c r="AC14" s="20"/>
    </row>
    <row r="15">
      <c r="A15" s="67">
        <v>17.056</v>
      </c>
      <c r="B15" s="68">
        <v>-13.496</v>
      </c>
      <c r="C15" s="68">
        <v>2.497</v>
      </c>
      <c r="D15" s="33" t="s">
        <v>8</v>
      </c>
      <c r="E15" s="34">
        <v>-0.179</v>
      </c>
      <c r="F15" s="35">
        <v>-5.385</v>
      </c>
      <c r="G15" s="36">
        <v>-11.983</v>
      </c>
      <c r="H15" s="36">
        <v>-4.47</v>
      </c>
      <c r="I15" s="36" t="s">
        <v>7</v>
      </c>
      <c r="J15" s="37">
        <v>-1.021</v>
      </c>
      <c r="K15" s="35">
        <v>29.287</v>
      </c>
      <c r="L15" s="36">
        <v>-3.919</v>
      </c>
      <c r="M15" s="36">
        <v>-25.573</v>
      </c>
      <c r="N15" s="36" t="s">
        <v>14</v>
      </c>
      <c r="O15" s="37">
        <v>-1.228</v>
      </c>
      <c r="P15" s="38"/>
      <c r="Q15" s="66"/>
      <c r="R15" s="66"/>
      <c r="S15" s="66"/>
      <c r="T15" s="19"/>
      <c r="U15" s="19"/>
      <c r="V15" s="19"/>
      <c r="W15" s="19"/>
      <c r="X15" s="19"/>
      <c r="Y15" s="19"/>
      <c r="AA15" s="60"/>
      <c r="AB15" s="60"/>
      <c r="AC15" s="20"/>
    </row>
    <row r="16">
      <c r="A16" s="67">
        <v>21.193</v>
      </c>
      <c r="B16" s="68">
        <v>-1.181</v>
      </c>
      <c r="C16" s="68">
        <v>-20.537</v>
      </c>
      <c r="D16" s="33" t="s">
        <v>10</v>
      </c>
      <c r="E16" s="34">
        <v>-0.177</v>
      </c>
      <c r="F16" s="35">
        <v>0.83</v>
      </c>
      <c r="G16" s="36">
        <v>-6.09</v>
      </c>
      <c r="H16" s="36">
        <v>-11.169</v>
      </c>
      <c r="I16" s="36" t="s">
        <v>3</v>
      </c>
      <c r="J16" s="37">
        <v>-1.017</v>
      </c>
      <c r="K16" s="35">
        <v>-8.372</v>
      </c>
      <c r="L16" s="36">
        <v>1.452</v>
      </c>
      <c r="M16" s="36">
        <v>5.546</v>
      </c>
      <c r="N16" s="36" t="s">
        <v>10</v>
      </c>
      <c r="O16" s="37">
        <v>-1.171</v>
      </c>
      <c r="P16" s="39"/>
      <c r="Q16" s="66"/>
      <c r="R16" s="66"/>
      <c r="S16" s="66"/>
      <c r="T16" s="19"/>
      <c r="U16" s="19"/>
      <c r="V16" s="19"/>
      <c r="W16" s="19"/>
      <c r="X16" s="19"/>
      <c r="Y16" s="19"/>
      <c r="AA16" s="60"/>
      <c r="AB16" s="60"/>
      <c r="AC16" s="20"/>
    </row>
    <row r="17">
      <c r="A17" s="67">
        <v>7.814</v>
      </c>
      <c r="B17" s="68">
        <v>18.337</v>
      </c>
      <c r="C17" s="68">
        <v>-8.731</v>
      </c>
      <c r="D17" s="36" t="s">
        <v>2</v>
      </c>
      <c r="E17" s="37">
        <v>-0.177</v>
      </c>
      <c r="F17" s="35">
        <v>22.032</v>
      </c>
      <c r="G17" s="36">
        <v>3.593</v>
      </c>
      <c r="H17" s="36">
        <v>-14.928</v>
      </c>
      <c r="I17" s="36" t="s">
        <v>13</v>
      </c>
      <c r="J17" s="37">
        <v>-1.015</v>
      </c>
      <c r="K17" s="40">
        <v>-8.37</v>
      </c>
      <c r="L17" s="41">
        <v>-3.471</v>
      </c>
      <c r="M17" s="41">
        <v>-11.707</v>
      </c>
      <c r="N17" s="41" t="s">
        <v>2</v>
      </c>
      <c r="O17" s="42">
        <v>-1.164</v>
      </c>
      <c r="P17" s="36"/>
      <c r="Q17" s="66"/>
      <c r="R17" s="66"/>
      <c r="S17" s="66"/>
      <c r="T17" s="19"/>
      <c r="U17" s="19"/>
      <c r="V17" s="19"/>
      <c r="W17" s="19"/>
      <c r="X17" s="19"/>
      <c r="Y17" s="19"/>
      <c r="AA17" s="60"/>
      <c r="AB17" s="60"/>
      <c r="AC17" s="20"/>
    </row>
    <row r="18">
      <c r="A18" s="67">
        <v>-0.298</v>
      </c>
      <c r="B18" s="68">
        <v>22.715</v>
      </c>
      <c r="C18" s="68">
        <v>-3.743</v>
      </c>
      <c r="D18" s="36" t="s">
        <v>5</v>
      </c>
      <c r="E18" s="37">
        <v>-0.176</v>
      </c>
      <c r="F18" s="35">
        <v>21.429</v>
      </c>
      <c r="G18" s="36">
        <v>3.921</v>
      </c>
      <c r="H18" s="36">
        <v>-15.899</v>
      </c>
      <c r="I18" s="36" t="s">
        <v>11</v>
      </c>
      <c r="J18" s="37">
        <v>-1.008</v>
      </c>
      <c r="K18" s="43">
        <v>-9.056</v>
      </c>
      <c r="L18" s="44">
        <v>-0.785</v>
      </c>
      <c r="M18" s="44">
        <v>0.246</v>
      </c>
      <c r="N18" s="44" t="s">
        <v>8</v>
      </c>
      <c r="O18" s="37">
        <v>-1.117</v>
      </c>
      <c r="P18" s="36"/>
      <c r="Q18" s="66"/>
      <c r="R18" s="66"/>
      <c r="S18" s="66"/>
      <c r="T18" s="19"/>
      <c r="U18" s="19"/>
      <c r="V18" s="19"/>
      <c r="W18" s="19"/>
      <c r="X18" s="19"/>
      <c r="Y18" s="19"/>
      <c r="AA18" s="60"/>
      <c r="AB18" s="60"/>
      <c r="AC18" s="20"/>
    </row>
    <row r="19">
      <c r="A19" s="67">
        <v>-3.038</v>
      </c>
      <c r="B19" s="68">
        <v>3.362</v>
      </c>
      <c r="C19" s="68">
        <v>27.749</v>
      </c>
      <c r="D19" s="36" t="s">
        <v>11</v>
      </c>
      <c r="E19" s="37">
        <v>-0.176</v>
      </c>
      <c r="F19" s="35">
        <v>-5.959</v>
      </c>
      <c r="G19" s="36">
        <v>6.276</v>
      </c>
      <c r="H19" s="36">
        <v>-28.036</v>
      </c>
      <c r="I19" s="36" t="s">
        <v>10</v>
      </c>
      <c r="J19" s="37">
        <v>-1.007</v>
      </c>
      <c r="K19" s="35">
        <v>-6.117</v>
      </c>
      <c r="L19" s="36">
        <v>1.927</v>
      </c>
      <c r="M19" s="36">
        <v>4.123</v>
      </c>
      <c r="N19" s="36" t="s">
        <v>8</v>
      </c>
      <c r="O19" s="37">
        <v>-1.101</v>
      </c>
      <c r="P19" s="36"/>
      <c r="Q19" s="66"/>
      <c r="R19" s="66"/>
      <c r="S19" s="66"/>
      <c r="T19" s="19"/>
      <c r="U19" s="19"/>
      <c r="V19" s="19"/>
      <c r="W19" s="19"/>
      <c r="X19" s="19"/>
      <c r="Y19" s="19"/>
      <c r="AA19" s="60"/>
      <c r="AB19" s="60"/>
      <c r="AC19" s="20"/>
    </row>
    <row r="20">
      <c r="A20" s="67">
        <v>13.505</v>
      </c>
      <c r="B20" s="68">
        <v>-3.889</v>
      </c>
      <c r="C20" s="68">
        <v>-28.009</v>
      </c>
      <c r="D20" s="36" t="s">
        <v>8</v>
      </c>
      <c r="E20" s="37">
        <v>-0.175</v>
      </c>
      <c r="F20" s="35">
        <v>-15.115</v>
      </c>
      <c r="G20" s="36">
        <v>4.928</v>
      </c>
      <c r="H20" s="36">
        <v>4.292</v>
      </c>
      <c r="I20" s="36" t="s">
        <v>7</v>
      </c>
      <c r="J20" s="37">
        <v>-1.005</v>
      </c>
      <c r="K20" s="35">
        <v>24.23</v>
      </c>
      <c r="L20" s="36">
        <v>1.782</v>
      </c>
      <c r="M20" s="36">
        <v>-13.674</v>
      </c>
      <c r="N20" s="36" t="s">
        <v>14</v>
      </c>
      <c r="O20" s="37">
        <v>-1.067</v>
      </c>
      <c r="P20" s="36"/>
      <c r="Q20" s="66"/>
      <c r="R20" s="66"/>
      <c r="S20" s="66"/>
      <c r="T20" s="19"/>
      <c r="U20" s="19"/>
      <c r="V20" s="19"/>
      <c r="W20" s="19"/>
      <c r="X20" s="19"/>
      <c r="Y20" s="19"/>
      <c r="AA20" s="60"/>
      <c r="AB20" s="60"/>
      <c r="AC20" s="20"/>
    </row>
    <row r="21">
      <c r="A21" s="67">
        <v>2.297</v>
      </c>
      <c r="B21" s="68">
        <v>16.943</v>
      </c>
      <c r="C21" s="68">
        <v>15.894</v>
      </c>
      <c r="D21" s="36" t="s">
        <v>5</v>
      </c>
      <c r="E21" s="37">
        <v>-0.174</v>
      </c>
      <c r="F21" s="35">
        <v>-5.347</v>
      </c>
      <c r="G21" s="36">
        <v>6.437</v>
      </c>
      <c r="H21" s="36">
        <v>8.918</v>
      </c>
      <c r="I21" s="36" t="s">
        <v>4</v>
      </c>
      <c r="J21" s="37">
        <v>-1.0</v>
      </c>
      <c r="K21" s="35">
        <v>-15.122</v>
      </c>
      <c r="L21" s="36">
        <v>19.837</v>
      </c>
      <c r="M21" s="36">
        <v>15.552</v>
      </c>
      <c r="N21" s="36" t="s">
        <v>9</v>
      </c>
      <c r="O21" s="37">
        <v>-1.055</v>
      </c>
      <c r="P21" s="36"/>
      <c r="Q21" s="66"/>
      <c r="R21" s="66"/>
      <c r="S21" s="66"/>
      <c r="T21" s="19"/>
      <c r="U21" s="19"/>
      <c r="V21" s="19"/>
      <c r="W21" s="19"/>
      <c r="X21" s="19"/>
      <c r="Y21" s="19"/>
      <c r="AA21" s="60"/>
      <c r="AB21" s="60"/>
      <c r="AC21" s="20"/>
    </row>
    <row r="22">
      <c r="A22" s="67">
        <v>21.204</v>
      </c>
      <c r="B22" s="68">
        <v>-1.167</v>
      </c>
      <c r="C22" s="68">
        <v>-19.883</v>
      </c>
      <c r="D22" s="36" t="s">
        <v>16</v>
      </c>
      <c r="E22" s="37">
        <v>-0.171</v>
      </c>
      <c r="F22" s="35">
        <v>-5.889</v>
      </c>
      <c r="G22" s="36">
        <v>6.258</v>
      </c>
      <c r="H22" s="36">
        <v>8.951</v>
      </c>
      <c r="I22" s="36" t="s">
        <v>16</v>
      </c>
      <c r="J22" s="37">
        <v>-0.992</v>
      </c>
      <c r="K22" s="35">
        <v>8.733</v>
      </c>
      <c r="L22" s="36">
        <v>3.021</v>
      </c>
      <c r="M22" s="36">
        <v>21.732</v>
      </c>
      <c r="N22" s="36" t="s">
        <v>8</v>
      </c>
      <c r="O22" s="37">
        <v>-0.96</v>
      </c>
      <c r="P22" s="36"/>
      <c r="Q22" s="66"/>
      <c r="R22" s="66"/>
      <c r="S22" s="66"/>
      <c r="T22" s="19"/>
      <c r="U22" s="19"/>
      <c r="V22" s="19"/>
      <c r="W22" s="19"/>
      <c r="X22" s="19"/>
      <c r="Y22" s="19"/>
      <c r="AA22" s="60"/>
      <c r="AB22" s="60"/>
      <c r="AC22" s="20"/>
    </row>
    <row r="23">
      <c r="A23" s="67">
        <v>-5.229</v>
      </c>
      <c r="B23" s="68">
        <v>3.712</v>
      </c>
      <c r="C23" s="68">
        <v>27.079</v>
      </c>
      <c r="D23" s="36" t="s">
        <v>7</v>
      </c>
      <c r="E23" s="37">
        <v>-0.17</v>
      </c>
      <c r="F23" s="35">
        <v>-8.957</v>
      </c>
      <c r="G23" s="36">
        <v>17.087</v>
      </c>
      <c r="H23" s="36">
        <v>-0.163</v>
      </c>
      <c r="I23" s="36" t="s">
        <v>18</v>
      </c>
      <c r="J23" s="37">
        <v>-0.988</v>
      </c>
      <c r="K23" s="35">
        <v>-4.683</v>
      </c>
      <c r="L23" s="36">
        <v>16.512</v>
      </c>
      <c r="M23" s="36">
        <v>-18.712</v>
      </c>
      <c r="N23" s="36" t="s">
        <v>7</v>
      </c>
      <c r="O23" s="37">
        <v>-0.948</v>
      </c>
      <c r="P23" s="36"/>
      <c r="Q23" s="66"/>
      <c r="R23" s="66"/>
      <c r="S23" s="66"/>
      <c r="T23" s="19"/>
      <c r="U23" s="19"/>
      <c r="V23" s="19"/>
      <c r="W23" s="19"/>
      <c r="X23" s="19"/>
      <c r="Y23" s="19"/>
      <c r="AA23" s="60"/>
      <c r="AB23" s="60"/>
      <c r="AC23" s="20"/>
    </row>
    <row r="24">
      <c r="A24" s="67">
        <v>-4.826</v>
      </c>
      <c r="B24" s="68">
        <v>-6.038</v>
      </c>
      <c r="C24" s="68">
        <v>-6.408</v>
      </c>
      <c r="D24" s="36" t="s">
        <v>8</v>
      </c>
      <c r="E24" s="37">
        <v>-0.17</v>
      </c>
      <c r="F24" s="35">
        <v>3.049</v>
      </c>
      <c r="G24" s="36">
        <v>-15.597</v>
      </c>
      <c r="H24" s="36">
        <v>-10.198</v>
      </c>
      <c r="I24" s="36" t="s">
        <v>11</v>
      </c>
      <c r="J24" s="37">
        <v>-0.983</v>
      </c>
      <c r="K24" s="35">
        <v>12.298</v>
      </c>
      <c r="L24" s="36">
        <v>2.556</v>
      </c>
      <c r="M24" s="36">
        <v>11.643</v>
      </c>
      <c r="N24" s="36" t="s">
        <v>6</v>
      </c>
      <c r="O24" s="37">
        <v>-0.947</v>
      </c>
      <c r="P24" s="36"/>
      <c r="Q24" s="66"/>
      <c r="R24" s="66"/>
      <c r="S24" s="66"/>
      <c r="T24" s="19"/>
      <c r="U24" s="19"/>
      <c r="V24" s="19"/>
      <c r="W24" s="19"/>
      <c r="X24" s="19"/>
      <c r="Y24" s="19"/>
      <c r="AA24" s="60"/>
      <c r="AB24" s="60"/>
      <c r="AC24" s="20"/>
    </row>
    <row r="25">
      <c r="A25" s="67">
        <v>13.5</v>
      </c>
      <c r="B25" s="68">
        <v>-2.135</v>
      </c>
      <c r="C25" s="68">
        <v>-25.775</v>
      </c>
      <c r="D25" s="36" t="s">
        <v>3</v>
      </c>
      <c r="E25" s="37">
        <v>-0.17</v>
      </c>
      <c r="F25" s="35">
        <v>7.023</v>
      </c>
      <c r="G25" s="36">
        <v>-22.041</v>
      </c>
      <c r="H25" s="36">
        <v>-17.956</v>
      </c>
      <c r="I25" s="36" t="s">
        <v>11</v>
      </c>
      <c r="J25" s="37">
        <v>-0.981</v>
      </c>
      <c r="K25" s="35">
        <v>11.207</v>
      </c>
      <c r="L25" s="36">
        <v>4.528</v>
      </c>
      <c r="M25" s="36">
        <v>12.032</v>
      </c>
      <c r="N25" s="36" t="s">
        <v>7</v>
      </c>
      <c r="O25" s="37">
        <v>-0.939</v>
      </c>
      <c r="P25" s="36"/>
      <c r="Q25" s="66"/>
      <c r="R25" s="66"/>
      <c r="S25" s="66"/>
      <c r="T25" s="19"/>
      <c r="U25" s="19"/>
      <c r="V25" s="19"/>
      <c r="W25" s="19"/>
      <c r="X25" s="19"/>
      <c r="Y25" s="19"/>
      <c r="AA25" s="60"/>
      <c r="AB25" s="60"/>
      <c r="AC25" s="20"/>
    </row>
    <row r="26">
      <c r="A26" s="67">
        <v>20.363</v>
      </c>
      <c r="B26" s="68">
        <v>-6.164</v>
      </c>
      <c r="C26" s="68">
        <v>-9.654</v>
      </c>
      <c r="D26" s="36" t="s">
        <v>13</v>
      </c>
      <c r="E26" s="37">
        <v>-0.169</v>
      </c>
      <c r="F26" s="35">
        <v>-5.928</v>
      </c>
      <c r="G26" s="36">
        <v>6.469</v>
      </c>
      <c r="H26" s="36">
        <v>-3.176</v>
      </c>
      <c r="I26" s="36" t="s">
        <v>11</v>
      </c>
      <c r="J26" s="37">
        <v>-0.974</v>
      </c>
      <c r="K26" s="35">
        <v>-23.977</v>
      </c>
      <c r="L26" s="36">
        <v>7.081</v>
      </c>
      <c r="M26" s="36">
        <v>-5.794</v>
      </c>
      <c r="N26" s="36" t="s">
        <v>15</v>
      </c>
      <c r="O26" s="37">
        <v>-0.929</v>
      </c>
      <c r="P26" s="36"/>
      <c r="Q26" s="66"/>
      <c r="R26" s="66"/>
      <c r="S26" s="66"/>
      <c r="T26" s="19"/>
      <c r="U26" s="19"/>
      <c r="V26" s="19"/>
      <c r="W26" s="19"/>
      <c r="X26" s="19"/>
      <c r="Y26" s="19"/>
      <c r="AA26" s="60"/>
      <c r="AB26" s="60"/>
      <c r="AC26" s="20"/>
    </row>
    <row r="27">
      <c r="A27" s="67">
        <v>14.117</v>
      </c>
      <c r="B27" s="68">
        <v>-1.864</v>
      </c>
      <c r="C27" s="68">
        <v>-26.14</v>
      </c>
      <c r="D27" s="36" t="s">
        <v>7</v>
      </c>
      <c r="E27" s="37">
        <v>-0.169</v>
      </c>
      <c r="F27" s="35">
        <v>2.194</v>
      </c>
      <c r="G27" s="36">
        <v>-7.787</v>
      </c>
      <c r="H27" s="36">
        <v>-15.605</v>
      </c>
      <c r="I27" s="36" t="s">
        <v>7</v>
      </c>
      <c r="J27" s="37">
        <v>-0.971</v>
      </c>
      <c r="K27" s="45">
        <v>12.361</v>
      </c>
      <c r="L27" s="46">
        <v>2.697</v>
      </c>
      <c r="M27" s="46">
        <v>11.914</v>
      </c>
      <c r="N27" s="46" t="s">
        <v>6</v>
      </c>
      <c r="O27" s="47">
        <v>-0.921</v>
      </c>
      <c r="P27" s="36"/>
      <c r="Q27" s="66"/>
      <c r="R27" s="66"/>
      <c r="S27" s="66"/>
      <c r="T27" s="19"/>
      <c r="U27" s="19"/>
      <c r="V27" s="19"/>
      <c r="W27" s="19"/>
      <c r="X27" s="19"/>
      <c r="Y27" s="19"/>
      <c r="AA27" s="60"/>
      <c r="AB27" s="60"/>
      <c r="AC27" s="20"/>
    </row>
    <row r="28">
      <c r="A28" s="67">
        <v>-20.657</v>
      </c>
      <c r="B28" s="68">
        <v>14.885</v>
      </c>
      <c r="C28" s="68">
        <v>3.878</v>
      </c>
      <c r="D28" s="36" t="s">
        <v>9</v>
      </c>
      <c r="E28" s="37">
        <v>-0.168</v>
      </c>
      <c r="F28" s="35">
        <v>-3.946</v>
      </c>
      <c r="G28" s="36">
        <v>-7.695</v>
      </c>
      <c r="H28" s="36">
        <v>-7.486</v>
      </c>
      <c r="I28" s="36" t="s">
        <v>11</v>
      </c>
      <c r="J28" s="37">
        <v>-0.97</v>
      </c>
      <c r="K28" s="45">
        <v>2.234</v>
      </c>
      <c r="L28" s="46">
        <v>-18.703</v>
      </c>
      <c r="M28" s="46">
        <v>6.241</v>
      </c>
      <c r="N28" s="46" t="s">
        <v>9</v>
      </c>
      <c r="O28" s="47">
        <v>-0.907</v>
      </c>
      <c r="P28" s="36"/>
      <c r="Q28" s="66"/>
      <c r="R28" s="66"/>
      <c r="S28" s="66"/>
      <c r="T28" s="19"/>
      <c r="U28" s="19"/>
      <c r="V28" s="19"/>
      <c r="W28" s="19"/>
      <c r="X28" s="19"/>
      <c r="Y28" s="19"/>
      <c r="AA28" s="60"/>
      <c r="AB28" s="60"/>
      <c r="AC28" s="20"/>
    </row>
    <row r="29">
      <c r="A29" s="67">
        <v>18.044</v>
      </c>
      <c r="B29" s="68">
        <v>-5.75</v>
      </c>
      <c r="C29" s="68">
        <v>-19.889</v>
      </c>
      <c r="D29" s="36" t="s">
        <v>19</v>
      </c>
      <c r="E29" s="37">
        <v>-0.168</v>
      </c>
      <c r="F29" s="35">
        <v>5.188</v>
      </c>
      <c r="G29" s="36">
        <v>-10.96</v>
      </c>
      <c r="H29" s="36">
        <v>-19.901</v>
      </c>
      <c r="I29" s="36" t="s">
        <v>6</v>
      </c>
      <c r="J29" s="37">
        <v>-0.966</v>
      </c>
      <c r="K29" s="45">
        <v>-6.837</v>
      </c>
      <c r="L29" s="46">
        <v>4.996</v>
      </c>
      <c r="M29" s="46">
        <v>-18.917</v>
      </c>
      <c r="N29" s="46" t="s">
        <v>6</v>
      </c>
      <c r="O29" s="47">
        <v>-0.89</v>
      </c>
      <c r="P29" s="36"/>
      <c r="Q29" s="66"/>
      <c r="R29" s="66"/>
      <c r="S29" s="66"/>
      <c r="T29" s="19"/>
      <c r="U29" s="19"/>
      <c r="V29" s="19"/>
      <c r="W29" s="19"/>
      <c r="X29" s="19"/>
      <c r="Y29" s="19"/>
      <c r="AA29" s="60"/>
      <c r="AB29" s="60"/>
      <c r="AC29" s="20"/>
    </row>
    <row r="30">
      <c r="A30" s="67">
        <v>-7.581</v>
      </c>
      <c r="B30" s="68">
        <v>-8.248</v>
      </c>
      <c r="C30" s="68">
        <v>11.461</v>
      </c>
      <c r="D30" s="36" t="s">
        <v>3</v>
      </c>
      <c r="E30" s="37">
        <v>-0.168</v>
      </c>
      <c r="F30" s="35">
        <v>0.745</v>
      </c>
      <c r="G30" s="36">
        <v>-8.483</v>
      </c>
      <c r="H30" s="36">
        <v>-5.168</v>
      </c>
      <c r="I30" s="36" t="s">
        <v>3</v>
      </c>
      <c r="J30" s="37">
        <v>-0.963</v>
      </c>
      <c r="K30" s="45">
        <v>-20.624</v>
      </c>
      <c r="L30" s="46">
        <v>19.59</v>
      </c>
      <c r="M30" s="46">
        <v>5.2</v>
      </c>
      <c r="N30" s="46" t="s">
        <v>8</v>
      </c>
      <c r="O30" s="47">
        <v>-0.889</v>
      </c>
      <c r="P30" s="36"/>
      <c r="Q30" s="66"/>
      <c r="R30" s="66"/>
      <c r="S30" s="66"/>
      <c r="T30" s="19"/>
      <c r="U30" s="19"/>
      <c r="V30" s="19"/>
      <c r="W30" s="19"/>
      <c r="X30" s="19"/>
      <c r="Y30" s="19"/>
      <c r="AA30" s="60"/>
      <c r="AB30" s="60"/>
      <c r="AC30" s="20"/>
    </row>
    <row r="31">
      <c r="A31" s="67">
        <v>7.86</v>
      </c>
      <c r="B31" s="68">
        <v>18.072</v>
      </c>
      <c r="C31" s="68">
        <v>-8.142</v>
      </c>
      <c r="D31" s="36" t="s">
        <v>12</v>
      </c>
      <c r="E31" s="37">
        <v>-0.167</v>
      </c>
      <c r="F31" s="35">
        <v>-14.61</v>
      </c>
      <c r="G31" s="36">
        <v>-2.021</v>
      </c>
      <c r="H31" s="36">
        <v>-5.4</v>
      </c>
      <c r="I31" s="36" t="s">
        <v>11</v>
      </c>
      <c r="J31" s="37">
        <v>-0.963</v>
      </c>
      <c r="K31" s="35">
        <v>-6.389</v>
      </c>
      <c r="L31" s="36">
        <v>6.966</v>
      </c>
      <c r="M31" s="36">
        <v>8.699</v>
      </c>
      <c r="N31" s="36" t="s">
        <v>18</v>
      </c>
      <c r="O31" s="37">
        <v>-0.882</v>
      </c>
      <c r="Q31" s="66"/>
      <c r="R31" s="66"/>
      <c r="S31" s="66"/>
      <c r="T31" s="19"/>
      <c r="U31" s="19"/>
      <c r="V31" s="19"/>
      <c r="W31" s="19"/>
      <c r="X31" s="19"/>
      <c r="Y31" s="19"/>
      <c r="AA31" s="60"/>
      <c r="AB31" s="60"/>
      <c r="AC31" s="20"/>
    </row>
    <row r="32">
      <c r="A32" s="67">
        <v>7.976</v>
      </c>
      <c r="B32" s="68">
        <v>16.724</v>
      </c>
      <c r="C32" s="68">
        <v>-6.811</v>
      </c>
      <c r="D32" s="36" t="s">
        <v>13</v>
      </c>
      <c r="E32" s="37">
        <v>-0.167</v>
      </c>
      <c r="F32" s="35">
        <v>-0.63</v>
      </c>
      <c r="G32" s="36">
        <v>3.683</v>
      </c>
      <c r="H32" s="36">
        <v>-7.344</v>
      </c>
      <c r="I32" s="36" t="s">
        <v>22</v>
      </c>
      <c r="J32" s="37">
        <v>-0.959</v>
      </c>
      <c r="K32" s="35">
        <v>8.163</v>
      </c>
      <c r="L32" s="36">
        <v>4.907</v>
      </c>
      <c r="M32" s="36">
        <v>-23.155</v>
      </c>
      <c r="N32" s="36" t="s">
        <v>8</v>
      </c>
      <c r="O32" s="37">
        <v>-0.878</v>
      </c>
      <c r="Q32" s="66"/>
      <c r="R32" s="66"/>
      <c r="S32" s="66"/>
      <c r="T32" s="19"/>
      <c r="U32" s="19"/>
      <c r="V32" s="19"/>
      <c r="W32" s="19"/>
      <c r="X32" s="19"/>
      <c r="Y32" s="19"/>
      <c r="AA32" s="60"/>
      <c r="AB32" s="60"/>
      <c r="AC32" s="20"/>
    </row>
    <row r="33">
      <c r="A33" s="67">
        <v>-2.687</v>
      </c>
      <c r="B33" s="68">
        <v>-5.314</v>
      </c>
      <c r="C33" s="68">
        <v>-7.061</v>
      </c>
      <c r="D33" s="36" t="s">
        <v>25</v>
      </c>
      <c r="E33" s="37">
        <v>-0.166</v>
      </c>
      <c r="F33" s="35">
        <v>-0.025</v>
      </c>
      <c r="G33" s="36">
        <v>8.115</v>
      </c>
      <c r="H33" s="36">
        <v>-29.304</v>
      </c>
      <c r="I33" s="36" t="s">
        <v>18</v>
      </c>
      <c r="J33" s="37">
        <v>-0.957</v>
      </c>
      <c r="K33" s="35">
        <v>14.962</v>
      </c>
      <c r="L33" s="36">
        <v>-3.842</v>
      </c>
      <c r="M33" s="36">
        <v>12.887</v>
      </c>
      <c r="N33" s="36" t="s">
        <v>7</v>
      </c>
      <c r="O33" s="37">
        <v>-0.877</v>
      </c>
      <c r="Q33" s="66"/>
      <c r="R33" s="66"/>
      <c r="S33" s="66"/>
      <c r="T33" s="19"/>
      <c r="U33" s="19"/>
      <c r="V33" s="19"/>
      <c r="W33" s="19"/>
      <c r="X33" s="19"/>
      <c r="Y33" s="19"/>
      <c r="AA33" s="60"/>
      <c r="AB33" s="60"/>
      <c r="AC33" s="20"/>
    </row>
    <row r="34">
      <c r="A34" s="69">
        <v>-0.966</v>
      </c>
      <c r="B34" s="70">
        <v>24.229</v>
      </c>
      <c r="C34" s="70">
        <v>-20.478</v>
      </c>
      <c r="D34" s="49" t="s">
        <v>14</v>
      </c>
      <c r="E34" s="50">
        <v>-0.166</v>
      </c>
      <c r="F34" s="48">
        <v>21.091</v>
      </c>
      <c r="G34" s="49">
        <v>12.412</v>
      </c>
      <c r="H34" s="49">
        <v>-19.262</v>
      </c>
      <c r="I34" s="49" t="s">
        <v>3</v>
      </c>
      <c r="J34" s="50">
        <v>-0.955</v>
      </c>
      <c r="K34" s="48">
        <v>11.152</v>
      </c>
      <c r="L34" s="49">
        <v>3.975</v>
      </c>
      <c r="M34" s="49">
        <v>-11.908</v>
      </c>
      <c r="N34" s="49" t="s">
        <v>22</v>
      </c>
      <c r="O34" s="50">
        <v>-0.872</v>
      </c>
      <c r="Q34" s="66"/>
      <c r="R34" s="66"/>
      <c r="S34" s="66"/>
      <c r="T34" s="19"/>
      <c r="U34" s="19"/>
      <c r="V34" s="19"/>
      <c r="W34" s="19"/>
      <c r="X34" s="19"/>
      <c r="Y34" s="19"/>
      <c r="AA34" s="60"/>
      <c r="AB34" s="60"/>
      <c r="AC34" s="20"/>
    </row>
    <row r="35">
      <c r="A35" s="9" t="s">
        <v>33</v>
      </c>
      <c r="B35" s="9"/>
      <c r="C35" s="9"/>
      <c r="D35" s="10"/>
      <c r="E35" s="10"/>
      <c r="F35" s="11" t="s">
        <v>34</v>
      </c>
      <c r="G35" s="11"/>
      <c r="H35" s="11"/>
      <c r="I35" s="10"/>
      <c r="J35" s="10"/>
      <c r="K35" s="11" t="s">
        <v>35</v>
      </c>
      <c r="L35" s="11"/>
      <c r="M35" s="11"/>
      <c r="N35" s="10"/>
      <c r="O35" s="10"/>
      <c r="Q35" s="66"/>
      <c r="R35" s="66"/>
      <c r="S35" s="66"/>
      <c r="T35" s="19"/>
      <c r="U35" s="19"/>
      <c r="V35" s="19"/>
      <c r="W35" s="19"/>
      <c r="X35" s="19"/>
      <c r="Y35" s="19"/>
      <c r="AA35" s="60"/>
      <c r="AB35" s="60"/>
      <c r="AC35" s="20"/>
    </row>
    <row r="36">
      <c r="A36" s="16" t="s">
        <v>36</v>
      </c>
      <c r="B36" s="17" t="s">
        <v>37</v>
      </c>
      <c r="C36" s="17" t="s">
        <v>38</v>
      </c>
      <c r="D36" s="17" t="s">
        <v>39</v>
      </c>
      <c r="E36" s="18" t="s">
        <v>40</v>
      </c>
      <c r="F36" s="16" t="s">
        <v>36</v>
      </c>
      <c r="G36" s="17" t="s">
        <v>37</v>
      </c>
      <c r="H36" s="17" t="s">
        <v>38</v>
      </c>
      <c r="I36" s="17" t="s">
        <v>39</v>
      </c>
      <c r="J36" s="18" t="s">
        <v>40</v>
      </c>
      <c r="K36" s="16" t="s">
        <v>36</v>
      </c>
      <c r="L36" s="17" t="s">
        <v>37</v>
      </c>
      <c r="M36" s="17" t="s">
        <v>38</v>
      </c>
      <c r="N36" s="17" t="s">
        <v>39</v>
      </c>
      <c r="O36" s="18" t="s">
        <v>40</v>
      </c>
      <c r="Q36" s="66"/>
      <c r="R36" s="66"/>
      <c r="S36" s="66"/>
      <c r="T36" s="19"/>
      <c r="U36" s="19"/>
      <c r="V36" s="19"/>
      <c r="W36" s="19"/>
      <c r="X36" s="19"/>
      <c r="Y36" s="19"/>
      <c r="AA36" s="60"/>
      <c r="AB36" s="60"/>
      <c r="AC36" s="20"/>
    </row>
    <row r="37">
      <c r="A37" s="21">
        <v>7.023</v>
      </c>
      <c r="B37" s="22">
        <v>-22.041</v>
      </c>
      <c r="C37" s="22">
        <v>-17.956</v>
      </c>
      <c r="D37" s="22" t="s">
        <v>11</v>
      </c>
      <c r="E37" s="23">
        <v>-1.302</v>
      </c>
      <c r="F37" s="21">
        <v>7.023</v>
      </c>
      <c r="G37" s="22">
        <v>-22.041</v>
      </c>
      <c r="H37" s="22">
        <v>-17.956</v>
      </c>
      <c r="I37" s="22" t="s">
        <v>11</v>
      </c>
      <c r="J37" s="23">
        <v>-1.525</v>
      </c>
      <c r="K37" s="21">
        <v>-12.877</v>
      </c>
      <c r="L37" s="22">
        <v>5.026</v>
      </c>
      <c r="M37" s="22">
        <v>2.516</v>
      </c>
      <c r="N37" s="22" t="s">
        <v>10</v>
      </c>
      <c r="O37" s="23">
        <v>-1.006</v>
      </c>
      <c r="Q37" s="66"/>
      <c r="R37" s="66"/>
      <c r="S37" s="66"/>
      <c r="T37" s="19"/>
      <c r="U37" s="19"/>
      <c r="V37" s="19"/>
      <c r="W37" s="19"/>
      <c r="X37" s="19"/>
      <c r="Y37" s="19"/>
      <c r="AA37" s="60"/>
      <c r="AB37" s="60"/>
      <c r="AC37" s="20"/>
    </row>
    <row r="38">
      <c r="A38" s="24">
        <v>-7.471</v>
      </c>
      <c r="B38" s="25">
        <v>-26.823</v>
      </c>
      <c r="C38" s="25">
        <v>4.667</v>
      </c>
      <c r="D38" s="25" t="s">
        <v>11</v>
      </c>
      <c r="E38" s="26">
        <v>-1.106</v>
      </c>
      <c r="F38" s="24">
        <v>11.706</v>
      </c>
      <c r="G38" s="25">
        <v>3.069</v>
      </c>
      <c r="H38" s="25">
        <v>11.195</v>
      </c>
      <c r="I38" s="25" t="s">
        <v>6</v>
      </c>
      <c r="J38" s="26">
        <v>-1.38</v>
      </c>
      <c r="K38" s="24">
        <v>-7.286</v>
      </c>
      <c r="L38" s="25">
        <v>-17.026</v>
      </c>
      <c r="M38" s="25">
        <v>15.798</v>
      </c>
      <c r="N38" s="25" t="s">
        <v>8</v>
      </c>
      <c r="O38" s="26">
        <v>-0.818</v>
      </c>
      <c r="Q38" s="66"/>
      <c r="R38" s="66"/>
      <c r="S38" s="66"/>
      <c r="T38" s="19"/>
      <c r="U38" s="19"/>
      <c r="V38" s="19"/>
      <c r="W38" s="19"/>
      <c r="X38" s="19"/>
      <c r="Y38" s="19"/>
      <c r="AA38" s="60"/>
      <c r="AB38" s="60"/>
      <c r="AC38" s="20"/>
    </row>
    <row r="39">
      <c r="A39" s="24">
        <v>-8.354</v>
      </c>
      <c r="B39" s="25">
        <v>-17.293</v>
      </c>
      <c r="C39" s="25">
        <v>7.211</v>
      </c>
      <c r="D39" s="25" t="s">
        <v>16</v>
      </c>
      <c r="E39" s="26">
        <v>-1.086</v>
      </c>
      <c r="F39" s="24">
        <v>11.076</v>
      </c>
      <c r="G39" s="25">
        <v>3.297</v>
      </c>
      <c r="H39" s="25">
        <v>11.125</v>
      </c>
      <c r="I39" s="25" t="s">
        <v>7</v>
      </c>
      <c r="J39" s="26">
        <v>-1.377</v>
      </c>
      <c r="K39" s="24">
        <v>-10.378</v>
      </c>
      <c r="L39" s="25">
        <v>-4.395</v>
      </c>
      <c r="M39" s="25">
        <v>-10.248</v>
      </c>
      <c r="N39" s="25" t="s">
        <v>2</v>
      </c>
      <c r="O39" s="26">
        <v>-0.811</v>
      </c>
      <c r="Q39" s="66"/>
      <c r="R39" s="66"/>
      <c r="S39" s="66"/>
      <c r="T39" s="19"/>
      <c r="U39" s="19"/>
      <c r="V39" s="19"/>
      <c r="W39" s="19"/>
      <c r="X39" s="19"/>
      <c r="Y39" s="19"/>
      <c r="AA39" s="60"/>
      <c r="AB39" s="60"/>
      <c r="AC39" s="20"/>
    </row>
    <row r="40">
      <c r="A40" s="24">
        <v>26.82</v>
      </c>
      <c r="B40" s="25">
        <v>-0.127</v>
      </c>
      <c r="C40" s="25">
        <v>-18.815</v>
      </c>
      <c r="D40" s="25" t="s">
        <v>16</v>
      </c>
      <c r="E40" s="26">
        <v>-1.071</v>
      </c>
      <c r="F40" s="24">
        <v>9.352</v>
      </c>
      <c r="G40" s="25">
        <v>6.397</v>
      </c>
      <c r="H40" s="25">
        <v>-7.801</v>
      </c>
      <c r="I40" s="25" t="s">
        <v>8</v>
      </c>
      <c r="J40" s="26">
        <v>-1.338</v>
      </c>
      <c r="K40" s="24">
        <v>7.023</v>
      </c>
      <c r="L40" s="25">
        <v>-22.041</v>
      </c>
      <c r="M40" s="25">
        <v>-17.956</v>
      </c>
      <c r="N40" s="25" t="s">
        <v>11</v>
      </c>
      <c r="O40" s="26">
        <v>-0.809</v>
      </c>
      <c r="Q40" s="66"/>
      <c r="R40" s="66"/>
      <c r="S40" s="66"/>
      <c r="T40" s="19"/>
      <c r="U40" s="19"/>
      <c r="V40" s="19"/>
      <c r="W40" s="19"/>
      <c r="X40" s="19"/>
      <c r="Y40" s="19"/>
      <c r="AA40" s="60"/>
      <c r="AB40" s="60"/>
      <c r="AC40" s="20"/>
    </row>
    <row r="41">
      <c r="A41" s="24">
        <v>-12.877</v>
      </c>
      <c r="B41" s="25">
        <v>5.026</v>
      </c>
      <c r="C41" s="25">
        <v>2.516</v>
      </c>
      <c r="D41" s="25" t="s">
        <v>10</v>
      </c>
      <c r="E41" s="26">
        <v>-1.055</v>
      </c>
      <c r="F41" s="24">
        <v>12.298</v>
      </c>
      <c r="G41" s="25">
        <v>2.556</v>
      </c>
      <c r="H41" s="25">
        <v>11.643</v>
      </c>
      <c r="I41" s="25" t="s">
        <v>6</v>
      </c>
      <c r="J41" s="26">
        <v>-1.312</v>
      </c>
      <c r="K41" s="24">
        <v>-1.934</v>
      </c>
      <c r="L41" s="25">
        <v>13.64</v>
      </c>
      <c r="M41" s="25">
        <v>-2.14</v>
      </c>
      <c r="N41" s="25" t="s">
        <v>17</v>
      </c>
      <c r="O41" s="26">
        <v>-0.735</v>
      </c>
      <c r="Q41" s="66"/>
      <c r="R41" s="66"/>
      <c r="S41" s="66"/>
      <c r="T41" s="19"/>
      <c r="U41" s="19"/>
      <c r="V41" s="19"/>
      <c r="W41" s="19"/>
      <c r="X41" s="19"/>
      <c r="Y41" s="19"/>
      <c r="AA41" s="60"/>
      <c r="AB41" s="60"/>
      <c r="AC41" s="20"/>
    </row>
    <row r="42">
      <c r="A42" s="24">
        <v>24.931</v>
      </c>
      <c r="B42" s="25">
        <v>10.299</v>
      </c>
      <c r="C42" s="25">
        <v>14.201</v>
      </c>
      <c r="D42" s="25" t="s">
        <v>13</v>
      </c>
      <c r="E42" s="26">
        <v>-1.049</v>
      </c>
      <c r="F42" s="24">
        <v>-13.918</v>
      </c>
      <c r="G42" s="25">
        <v>18.301</v>
      </c>
      <c r="H42" s="25">
        <v>2.858</v>
      </c>
      <c r="I42" s="25" t="s">
        <v>13</v>
      </c>
      <c r="J42" s="26">
        <v>-1.293</v>
      </c>
      <c r="K42" s="24">
        <v>21.108</v>
      </c>
      <c r="L42" s="25">
        <v>1.364</v>
      </c>
      <c r="M42" s="25">
        <v>-7.586</v>
      </c>
      <c r="N42" s="25" t="s">
        <v>7</v>
      </c>
      <c r="O42" s="26">
        <v>-0.725</v>
      </c>
      <c r="Q42" s="66"/>
      <c r="R42" s="66"/>
      <c r="S42" s="66"/>
      <c r="T42" s="19"/>
      <c r="U42" s="19"/>
      <c r="V42" s="19"/>
      <c r="W42" s="19"/>
      <c r="X42" s="19"/>
      <c r="Y42" s="19"/>
      <c r="AA42" s="60"/>
      <c r="AB42" s="60"/>
      <c r="AC42" s="20"/>
    </row>
    <row r="43">
      <c r="A43" s="24">
        <v>14.122</v>
      </c>
      <c r="B43" s="25">
        <v>-16.901</v>
      </c>
      <c r="C43" s="25">
        <v>19.949</v>
      </c>
      <c r="D43" s="25" t="s">
        <v>13</v>
      </c>
      <c r="E43" s="26">
        <v>-1.034</v>
      </c>
      <c r="F43" s="24">
        <v>-23.977</v>
      </c>
      <c r="G43" s="25">
        <v>7.081</v>
      </c>
      <c r="H43" s="25">
        <v>-5.794</v>
      </c>
      <c r="I43" s="25" t="s">
        <v>15</v>
      </c>
      <c r="J43" s="26">
        <v>-1.29</v>
      </c>
      <c r="K43" s="24">
        <v>11.076</v>
      </c>
      <c r="L43" s="25">
        <v>3.297</v>
      </c>
      <c r="M43" s="25">
        <v>11.125</v>
      </c>
      <c r="N43" s="25" t="s">
        <v>7</v>
      </c>
      <c r="O43" s="26">
        <v>-0.724</v>
      </c>
      <c r="Q43" s="66"/>
      <c r="R43" s="66"/>
      <c r="S43" s="66"/>
      <c r="T43" s="19"/>
      <c r="U43" s="19"/>
      <c r="V43" s="19"/>
      <c r="W43" s="19"/>
      <c r="X43" s="19"/>
      <c r="Y43" s="19"/>
      <c r="AA43" s="60"/>
      <c r="AB43" s="60"/>
      <c r="AC43" s="20"/>
    </row>
    <row r="44">
      <c r="A44" s="27">
        <v>14.021</v>
      </c>
      <c r="B44" s="28">
        <v>-10.998</v>
      </c>
      <c r="C44" s="28">
        <v>29.758</v>
      </c>
      <c r="D44" s="29" t="s">
        <v>11</v>
      </c>
      <c r="E44" s="30">
        <v>-1.019</v>
      </c>
      <c r="F44" s="24">
        <v>7.513</v>
      </c>
      <c r="G44" s="25">
        <v>4.874</v>
      </c>
      <c r="H44" s="25">
        <v>-23.429</v>
      </c>
      <c r="I44" s="25" t="s">
        <v>3</v>
      </c>
      <c r="J44" s="26">
        <v>-1.286</v>
      </c>
      <c r="K44" s="24">
        <v>2.357</v>
      </c>
      <c r="L44" s="25">
        <v>-16.935</v>
      </c>
      <c r="M44" s="25">
        <v>12.814</v>
      </c>
      <c r="N44" s="25" t="s">
        <v>2</v>
      </c>
      <c r="O44" s="26">
        <v>-0.719</v>
      </c>
      <c r="Q44" s="66"/>
      <c r="R44" s="66"/>
      <c r="S44" s="66"/>
      <c r="T44" s="19"/>
      <c r="U44" s="19"/>
      <c r="V44" s="19"/>
      <c r="W44" s="19"/>
      <c r="X44" s="19"/>
      <c r="Y44" s="19"/>
      <c r="AA44" s="60"/>
      <c r="AB44" s="60"/>
      <c r="AC44" s="20"/>
    </row>
    <row r="45">
      <c r="A45" s="27">
        <v>-23.977</v>
      </c>
      <c r="B45" s="28">
        <v>7.081</v>
      </c>
      <c r="C45" s="28">
        <v>-5.794</v>
      </c>
      <c r="D45" s="29" t="s">
        <v>15</v>
      </c>
      <c r="E45" s="30">
        <v>-1.011</v>
      </c>
      <c r="F45" s="24">
        <v>9.179</v>
      </c>
      <c r="G45" s="25">
        <v>6.422</v>
      </c>
      <c r="H45" s="25">
        <v>-7.659</v>
      </c>
      <c r="I45" s="25" t="s">
        <v>6</v>
      </c>
      <c r="J45" s="26">
        <v>-1.28</v>
      </c>
      <c r="K45" s="24">
        <v>15.749</v>
      </c>
      <c r="L45" s="25">
        <v>-14.811</v>
      </c>
      <c r="M45" s="25">
        <v>-10.715</v>
      </c>
      <c r="N45" s="25" t="s">
        <v>11</v>
      </c>
      <c r="O45" s="26">
        <v>-0.712</v>
      </c>
      <c r="Q45" s="66"/>
      <c r="R45" s="66"/>
      <c r="S45" s="66"/>
      <c r="T45" s="19"/>
      <c r="U45" s="19"/>
      <c r="V45" s="19"/>
      <c r="W45" s="19"/>
      <c r="X45" s="19"/>
      <c r="Y45" s="19"/>
      <c r="AA45" s="60"/>
      <c r="AB45" s="60"/>
      <c r="AC45" s="20"/>
    </row>
    <row r="46">
      <c r="A46" s="27">
        <v>5.235</v>
      </c>
      <c r="B46" s="28">
        <v>-7.879</v>
      </c>
      <c r="C46" s="28">
        <v>-29.563</v>
      </c>
      <c r="D46" s="29" t="s">
        <v>11</v>
      </c>
      <c r="E46" s="30">
        <v>-1.003</v>
      </c>
      <c r="F46" s="24">
        <v>-7.471</v>
      </c>
      <c r="G46" s="25">
        <v>-26.823</v>
      </c>
      <c r="H46" s="25">
        <v>4.667</v>
      </c>
      <c r="I46" s="25" t="s">
        <v>11</v>
      </c>
      <c r="J46" s="26">
        <v>-1.276</v>
      </c>
      <c r="K46" s="24">
        <v>14.962</v>
      </c>
      <c r="L46" s="25">
        <v>-3.842</v>
      </c>
      <c r="M46" s="25">
        <v>12.887</v>
      </c>
      <c r="N46" s="25" t="s">
        <v>7</v>
      </c>
      <c r="O46" s="26">
        <v>-0.704</v>
      </c>
      <c r="Q46" s="66"/>
      <c r="R46" s="66"/>
      <c r="S46" s="66"/>
      <c r="T46" s="19"/>
      <c r="U46" s="19"/>
      <c r="V46" s="19"/>
      <c r="W46" s="19"/>
      <c r="X46" s="19"/>
      <c r="Y46" s="19"/>
      <c r="AA46" s="60"/>
      <c r="AB46" s="60"/>
      <c r="AC46" s="20"/>
    </row>
    <row r="47">
      <c r="A47" s="31">
        <v>11.076</v>
      </c>
      <c r="B47" s="32">
        <v>3.297</v>
      </c>
      <c r="C47" s="32">
        <v>11.125</v>
      </c>
      <c r="D47" s="33" t="s">
        <v>7</v>
      </c>
      <c r="E47" s="34">
        <v>-0.989</v>
      </c>
      <c r="F47" s="35">
        <v>-0.401</v>
      </c>
      <c r="G47" s="36">
        <v>-15.317</v>
      </c>
      <c r="H47" s="36">
        <v>8.312</v>
      </c>
      <c r="I47" s="36" t="s">
        <v>16</v>
      </c>
      <c r="J47" s="37">
        <v>-1.275</v>
      </c>
      <c r="K47" s="35">
        <v>-14.533</v>
      </c>
      <c r="L47" s="36">
        <v>-2.243</v>
      </c>
      <c r="M47" s="36">
        <v>-5.276</v>
      </c>
      <c r="N47" s="36" t="s">
        <v>11</v>
      </c>
      <c r="O47" s="37">
        <v>-0.704</v>
      </c>
      <c r="Q47" s="66"/>
      <c r="R47" s="66"/>
      <c r="S47" s="66"/>
      <c r="T47" s="19"/>
      <c r="U47" s="19"/>
      <c r="V47" s="19"/>
      <c r="W47" s="19"/>
      <c r="X47" s="19"/>
      <c r="Y47" s="19"/>
      <c r="AA47" s="60"/>
      <c r="AB47" s="60"/>
      <c r="AC47" s="20"/>
    </row>
    <row r="48">
      <c r="A48" s="31">
        <v>-9.702</v>
      </c>
      <c r="B48" s="32">
        <v>16.592</v>
      </c>
      <c r="C48" s="32">
        <v>-0.8</v>
      </c>
      <c r="D48" s="33" t="s">
        <v>13</v>
      </c>
      <c r="E48" s="34">
        <v>-0.987</v>
      </c>
      <c r="F48" s="35">
        <v>-1.006</v>
      </c>
      <c r="G48" s="36">
        <v>-14.524</v>
      </c>
      <c r="H48" s="36">
        <v>7.732</v>
      </c>
      <c r="I48" s="36" t="s">
        <v>11</v>
      </c>
      <c r="J48" s="37">
        <v>-1.266</v>
      </c>
      <c r="K48" s="35">
        <v>-1.924</v>
      </c>
      <c r="L48" s="36">
        <v>15.426</v>
      </c>
      <c r="M48" s="36">
        <v>-16.907</v>
      </c>
      <c r="N48" s="36" t="s">
        <v>6</v>
      </c>
      <c r="O48" s="37">
        <v>-0.697</v>
      </c>
      <c r="Q48" s="66"/>
      <c r="R48" s="66"/>
      <c r="S48" s="66"/>
      <c r="T48" s="19"/>
      <c r="U48" s="19"/>
      <c r="V48" s="19"/>
      <c r="W48" s="19"/>
      <c r="X48" s="19"/>
      <c r="Y48" s="19"/>
      <c r="AA48" s="60"/>
      <c r="AB48" s="60"/>
      <c r="AC48" s="20"/>
    </row>
    <row r="49">
      <c r="A49" s="35">
        <v>-14.815</v>
      </c>
      <c r="B49" s="36">
        <v>18.654</v>
      </c>
      <c r="C49" s="36">
        <v>2.823</v>
      </c>
      <c r="D49" s="36" t="s">
        <v>10</v>
      </c>
      <c r="E49" s="37">
        <v>-0.983</v>
      </c>
      <c r="F49" s="35">
        <v>14.122</v>
      </c>
      <c r="G49" s="36">
        <v>-16.901</v>
      </c>
      <c r="H49" s="36">
        <v>19.949</v>
      </c>
      <c r="I49" s="36" t="s">
        <v>13</v>
      </c>
      <c r="J49" s="37">
        <v>-1.256</v>
      </c>
      <c r="K49" s="40">
        <v>1.834</v>
      </c>
      <c r="L49" s="41">
        <v>22.572</v>
      </c>
      <c r="M49" s="41">
        <v>-16.056</v>
      </c>
      <c r="N49" s="51" t="s">
        <v>14</v>
      </c>
      <c r="O49" s="52">
        <v>-0.694</v>
      </c>
      <c r="Q49" s="66"/>
      <c r="R49" s="66"/>
      <c r="S49" s="66"/>
      <c r="T49" s="19"/>
      <c r="U49" s="19"/>
      <c r="V49" s="19"/>
      <c r="W49" s="19"/>
      <c r="X49" s="19"/>
      <c r="Y49" s="19"/>
      <c r="AA49" s="60"/>
      <c r="AB49" s="60"/>
      <c r="AC49" s="20"/>
    </row>
    <row r="50">
      <c r="A50" s="35">
        <v>20.923</v>
      </c>
      <c r="B50" s="36">
        <v>11.816</v>
      </c>
      <c r="C50" s="36">
        <v>11.458</v>
      </c>
      <c r="D50" s="36" t="s">
        <v>3</v>
      </c>
      <c r="E50" s="37">
        <v>-0.98</v>
      </c>
      <c r="F50" s="35">
        <v>-5.601</v>
      </c>
      <c r="G50" s="36">
        <v>6.66</v>
      </c>
      <c r="H50" s="36">
        <v>8.924</v>
      </c>
      <c r="I50" s="36" t="s">
        <v>18</v>
      </c>
      <c r="J50" s="37">
        <v>-1.252</v>
      </c>
      <c r="K50" s="35">
        <v>5.235</v>
      </c>
      <c r="L50" s="36">
        <v>15.647</v>
      </c>
      <c r="M50" s="36">
        <v>-15.623</v>
      </c>
      <c r="N50" s="36" t="s">
        <v>2</v>
      </c>
      <c r="O50" s="37">
        <v>-0.691</v>
      </c>
      <c r="Q50" s="66"/>
      <c r="R50" s="66"/>
      <c r="S50" s="66"/>
      <c r="T50" s="19"/>
      <c r="U50" s="19"/>
      <c r="V50" s="19"/>
      <c r="W50" s="19"/>
      <c r="X50" s="19"/>
      <c r="Y50" s="19"/>
      <c r="AA50" s="60"/>
      <c r="AB50" s="60"/>
      <c r="AC50" s="20"/>
    </row>
    <row r="51">
      <c r="A51" s="35">
        <v>-1.934</v>
      </c>
      <c r="B51" s="36">
        <v>13.64</v>
      </c>
      <c r="C51" s="36">
        <v>-2.14</v>
      </c>
      <c r="D51" s="36" t="s">
        <v>17</v>
      </c>
      <c r="E51" s="37">
        <v>-0.973</v>
      </c>
      <c r="F51" s="35">
        <v>15.851</v>
      </c>
      <c r="G51" s="36">
        <v>3.221</v>
      </c>
      <c r="H51" s="36">
        <v>-0.924</v>
      </c>
      <c r="I51" s="36" t="s">
        <v>2</v>
      </c>
      <c r="J51" s="37">
        <v>-1.246</v>
      </c>
      <c r="K51" s="35">
        <v>-14.671</v>
      </c>
      <c r="L51" s="36">
        <v>19.306</v>
      </c>
      <c r="M51" s="36">
        <v>4.811</v>
      </c>
      <c r="N51" s="36" t="s">
        <v>10</v>
      </c>
      <c r="O51" s="37">
        <v>-0.687</v>
      </c>
      <c r="Q51" s="66"/>
      <c r="R51" s="66"/>
      <c r="S51" s="66"/>
      <c r="T51" s="19"/>
      <c r="U51" s="19"/>
      <c r="V51" s="19"/>
      <c r="W51" s="19"/>
      <c r="X51" s="19"/>
      <c r="Y51" s="19"/>
      <c r="AA51" s="60"/>
      <c r="AB51" s="60"/>
      <c r="AC51" s="20"/>
    </row>
    <row r="52">
      <c r="A52" s="35">
        <v>11.706</v>
      </c>
      <c r="B52" s="36">
        <v>3.069</v>
      </c>
      <c r="C52" s="36">
        <v>11.195</v>
      </c>
      <c r="D52" s="36" t="s">
        <v>6</v>
      </c>
      <c r="E52" s="37">
        <v>-0.962</v>
      </c>
      <c r="F52" s="35">
        <v>11.468</v>
      </c>
      <c r="G52" s="36">
        <v>-7.775</v>
      </c>
      <c r="H52" s="36">
        <v>23.345</v>
      </c>
      <c r="I52" s="36" t="s">
        <v>3</v>
      </c>
      <c r="J52" s="37">
        <v>-1.229</v>
      </c>
      <c r="K52" s="35">
        <v>17.79</v>
      </c>
      <c r="L52" s="36">
        <v>-5.922</v>
      </c>
      <c r="M52" s="36">
        <v>-21.276</v>
      </c>
      <c r="N52" s="36" t="s">
        <v>7</v>
      </c>
      <c r="O52" s="37">
        <v>-0.687</v>
      </c>
      <c r="Q52" s="66"/>
      <c r="R52" s="66"/>
      <c r="S52" s="66"/>
      <c r="T52" s="19"/>
      <c r="U52" s="19"/>
      <c r="V52" s="19"/>
      <c r="W52" s="19"/>
      <c r="X52" s="19"/>
      <c r="Y52" s="19"/>
      <c r="AA52" s="60"/>
      <c r="AB52" s="60"/>
      <c r="AC52" s="20"/>
    </row>
    <row r="53">
      <c r="A53" s="35">
        <v>-24.637</v>
      </c>
      <c r="B53" s="36">
        <v>8.032</v>
      </c>
      <c r="C53" s="36">
        <v>-6.073</v>
      </c>
      <c r="D53" s="36" t="s">
        <v>16</v>
      </c>
      <c r="E53" s="37">
        <v>-0.961</v>
      </c>
      <c r="F53" s="35">
        <v>-12.047</v>
      </c>
      <c r="G53" s="36">
        <v>4.253</v>
      </c>
      <c r="H53" s="36">
        <v>-1.402</v>
      </c>
      <c r="I53" s="36" t="s">
        <v>10</v>
      </c>
      <c r="J53" s="37">
        <v>-1.227</v>
      </c>
      <c r="K53" s="35">
        <v>0.866</v>
      </c>
      <c r="L53" s="36">
        <v>-10.125</v>
      </c>
      <c r="M53" s="36">
        <v>-13.125</v>
      </c>
      <c r="N53" s="36" t="s">
        <v>11</v>
      </c>
      <c r="O53" s="37">
        <v>-0.685</v>
      </c>
      <c r="Q53" s="66"/>
      <c r="R53" s="66"/>
      <c r="S53" s="66"/>
      <c r="T53" s="19"/>
      <c r="U53" s="19"/>
      <c r="V53" s="19"/>
      <c r="W53" s="19"/>
      <c r="X53" s="19"/>
      <c r="Y53" s="19"/>
      <c r="AA53" s="60"/>
      <c r="AB53" s="60"/>
      <c r="AC53" s="20"/>
    </row>
    <row r="54">
      <c r="A54" s="35">
        <v>-21.517</v>
      </c>
      <c r="B54" s="36">
        <v>12.002</v>
      </c>
      <c r="C54" s="36">
        <v>11.023</v>
      </c>
      <c r="D54" s="36" t="s">
        <v>11</v>
      </c>
      <c r="E54" s="37">
        <v>-0.958</v>
      </c>
      <c r="F54" s="35">
        <v>11.035</v>
      </c>
      <c r="G54" s="36">
        <v>-2.916</v>
      </c>
      <c r="H54" s="36">
        <v>-1.682</v>
      </c>
      <c r="I54" s="36" t="s">
        <v>15</v>
      </c>
      <c r="J54" s="37">
        <v>-1.225</v>
      </c>
      <c r="K54" s="35">
        <v>11.152</v>
      </c>
      <c r="L54" s="36">
        <v>3.975</v>
      </c>
      <c r="M54" s="36">
        <v>-11.908</v>
      </c>
      <c r="N54" s="36" t="s">
        <v>22</v>
      </c>
      <c r="O54" s="37">
        <v>-0.684</v>
      </c>
      <c r="Q54" s="66"/>
      <c r="R54" s="66"/>
      <c r="S54" s="66"/>
      <c r="T54" s="19"/>
      <c r="U54" s="19"/>
      <c r="V54" s="19"/>
      <c r="W54" s="19"/>
      <c r="X54" s="19"/>
      <c r="Y54" s="19"/>
      <c r="AA54" s="60"/>
      <c r="AB54" s="60"/>
      <c r="AC54" s="20"/>
    </row>
    <row r="55">
      <c r="A55" s="35">
        <v>-14.807</v>
      </c>
      <c r="B55" s="36">
        <v>10.1</v>
      </c>
      <c r="C55" s="36">
        <v>-17.778</v>
      </c>
      <c r="D55" s="36" t="s">
        <v>11</v>
      </c>
      <c r="E55" s="37">
        <v>-0.956</v>
      </c>
      <c r="F55" s="35">
        <v>-5.347</v>
      </c>
      <c r="G55" s="36">
        <v>6.437</v>
      </c>
      <c r="H55" s="36">
        <v>8.918</v>
      </c>
      <c r="I55" s="36" t="s">
        <v>4</v>
      </c>
      <c r="J55" s="37">
        <v>-1.222</v>
      </c>
      <c r="K55" s="35">
        <v>-14.875</v>
      </c>
      <c r="L55" s="36">
        <v>4.211</v>
      </c>
      <c r="M55" s="36">
        <v>-21.78</v>
      </c>
      <c r="N55" s="36" t="s">
        <v>13</v>
      </c>
      <c r="O55" s="37">
        <v>-0.683</v>
      </c>
      <c r="Q55" s="66"/>
      <c r="R55" s="66"/>
      <c r="S55" s="66"/>
      <c r="T55" s="19"/>
      <c r="U55" s="19"/>
      <c r="V55" s="19"/>
      <c r="W55" s="19"/>
      <c r="X55" s="19"/>
      <c r="Y55" s="19"/>
      <c r="AA55" s="60"/>
      <c r="AB55" s="60"/>
      <c r="AC55" s="20"/>
    </row>
    <row r="56">
      <c r="A56" s="35">
        <v>10.908</v>
      </c>
      <c r="B56" s="36">
        <v>-16.612</v>
      </c>
      <c r="C56" s="36">
        <v>23.139</v>
      </c>
      <c r="D56" s="36" t="s">
        <v>10</v>
      </c>
      <c r="E56" s="37">
        <v>-0.955</v>
      </c>
      <c r="F56" s="35">
        <v>-6.28</v>
      </c>
      <c r="G56" s="36">
        <v>4.573</v>
      </c>
      <c r="H56" s="36">
        <v>-18.078</v>
      </c>
      <c r="I56" s="36" t="s">
        <v>6</v>
      </c>
      <c r="J56" s="37">
        <v>-1.22</v>
      </c>
      <c r="K56" s="35">
        <v>-20.806</v>
      </c>
      <c r="L56" s="36">
        <v>14.866</v>
      </c>
      <c r="M56" s="36">
        <v>16.058</v>
      </c>
      <c r="N56" s="36" t="s">
        <v>12</v>
      </c>
      <c r="O56" s="37">
        <v>-0.679</v>
      </c>
      <c r="Q56" s="66"/>
      <c r="R56" s="66"/>
      <c r="S56" s="66"/>
      <c r="T56" s="19"/>
      <c r="U56" s="19"/>
      <c r="V56" s="19"/>
      <c r="W56" s="19"/>
      <c r="X56" s="19"/>
      <c r="Y56" s="19"/>
      <c r="AA56" s="60"/>
      <c r="AB56" s="60"/>
      <c r="AC56" s="20"/>
    </row>
    <row r="57">
      <c r="A57" s="35">
        <v>12.298</v>
      </c>
      <c r="B57" s="36">
        <v>2.556</v>
      </c>
      <c r="C57" s="36">
        <v>11.643</v>
      </c>
      <c r="D57" s="36" t="s">
        <v>6</v>
      </c>
      <c r="E57" s="37">
        <v>-0.953</v>
      </c>
      <c r="F57" s="35">
        <v>11.161</v>
      </c>
      <c r="G57" s="36">
        <v>-2.645</v>
      </c>
      <c r="H57" s="36">
        <v>-2.033</v>
      </c>
      <c r="I57" s="36" t="s">
        <v>22</v>
      </c>
      <c r="J57" s="37">
        <v>-1.22</v>
      </c>
      <c r="K57" s="35">
        <v>-22.911</v>
      </c>
      <c r="L57" s="36">
        <v>-4.443</v>
      </c>
      <c r="M57" s="36">
        <v>-0.66</v>
      </c>
      <c r="N57" s="36" t="s">
        <v>7</v>
      </c>
      <c r="O57" s="37">
        <v>-0.676</v>
      </c>
      <c r="Q57" s="66"/>
      <c r="R57" s="66"/>
      <c r="S57" s="66"/>
      <c r="T57" s="19"/>
      <c r="U57" s="19"/>
      <c r="V57" s="19"/>
      <c r="W57" s="19"/>
      <c r="X57" s="19"/>
      <c r="Y57" s="19"/>
      <c r="AA57" s="60"/>
      <c r="AB57" s="60"/>
      <c r="AC57" s="20"/>
    </row>
    <row r="58">
      <c r="A58" s="35">
        <v>-20.806</v>
      </c>
      <c r="B58" s="36">
        <v>14.866</v>
      </c>
      <c r="C58" s="36">
        <v>16.058</v>
      </c>
      <c r="D58" s="36" t="s">
        <v>12</v>
      </c>
      <c r="E58" s="37">
        <v>-0.951</v>
      </c>
      <c r="F58" s="35">
        <v>10.736</v>
      </c>
      <c r="G58" s="36">
        <v>-8.841</v>
      </c>
      <c r="H58" s="36">
        <v>21.576</v>
      </c>
      <c r="I58" s="36" t="s">
        <v>11</v>
      </c>
      <c r="J58" s="37">
        <v>-1.211</v>
      </c>
      <c r="K58" s="35">
        <v>7.739</v>
      </c>
      <c r="L58" s="36">
        <v>19.767</v>
      </c>
      <c r="M58" s="36">
        <v>-16.678</v>
      </c>
      <c r="N58" s="36" t="s">
        <v>11</v>
      </c>
      <c r="O58" s="37">
        <v>-0.676</v>
      </c>
      <c r="Q58" s="66"/>
      <c r="R58" s="66"/>
      <c r="S58" s="66"/>
      <c r="T58" s="19"/>
      <c r="U58" s="19"/>
      <c r="V58" s="19"/>
      <c r="W58" s="19"/>
      <c r="X58" s="19"/>
      <c r="Y58" s="19"/>
      <c r="AA58" s="60"/>
      <c r="AB58" s="60"/>
      <c r="AC58" s="20"/>
    </row>
    <row r="59">
      <c r="A59" s="35">
        <v>9.352</v>
      </c>
      <c r="B59" s="36">
        <v>6.397</v>
      </c>
      <c r="C59" s="36">
        <v>-7.801</v>
      </c>
      <c r="D59" s="36" t="s">
        <v>8</v>
      </c>
      <c r="E59" s="37">
        <v>-0.949</v>
      </c>
      <c r="F59" s="35">
        <v>4.081</v>
      </c>
      <c r="G59" s="36">
        <v>8.894</v>
      </c>
      <c r="H59" s="36">
        <v>6.284</v>
      </c>
      <c r="I59" s="36" t="s">
        <v>17</v>
      </c>
      <c r="J59" s="37">
        <v>-1.207</v>
      </c>
      <c r="K59" s="45">
        <v>20.724</v>
      </c>
      <c r="L59" s="46">
        <v>11.853</v>
      </c>
      <c r="M59" s="46">
        <v>12.091</v>
      </c>
      <c r="N59" s="46" t="s">
        <v>13</v>
      </c>
      <c r="O59" s="47">
        <v>-0.668</v>
      </c>
      <c r="Q59" s="66"/>
      <c r="R59" s="66"/>
      <c r="S59" s="66"/>
      <c r="T59" s="19"/>
      <c r="U59" s="19"/>
      <c r="V59" s="19"/>
      <c r="W59" s="19"/>
      <c r="X59" s="19"/>
      <c r="Y59" s="19"/>
      <c r="AA59" s="60"/>
      <c r="AB59" s="60"/>
      <c r="AC59" s="20"/>
    </row>
    <row r="60">
      <c r="A60" s="35">
        <v>-9.435</v>
      </c>
      <c r="B60" s="36">
        <v>-13.074</v>
      </c>
      <c r="C60" s="36">
        <v>-2.43</v>
      </c>
      <c r="D60" s="36" t="s">
        <v>4</v>
      </c>
      <c r="E60" s="37">
        <v>-0.945</v>
      </c>
      <c r="F60" s="35">
        <v>11.21</v>
      </c>
      <c r="G60" s="36">
        <v>-4.725</v>
      </c>
      <c r="H60" s="36">
        <v>-0.159</v>
      </c>
      <c r="I60" s="36" t="s">
        <v>5</v>
      </c>
      <c r="J60" s="37">
        <v>-1.203</v>
      </c>
      <c r="K60" s="45">
        <v>7.627</v>
      </c>
      <c r="L60" s="46">
        <v>5.388</v>
      </c>
      <c r="M60" s="46">
        <v>-24.314</v>
      </c>
      <c r="N60" s="46" t="s">
        <v>5</v>
      </c>
      <c r="O60" s="47">
        <v>-0.667</v>
      </c>
      <c r="Q60" s="66"/>
      <c r="R60" s="66"/>
      <c r="S60" s="66"/>
      <c r="T60" s="19"/>
      <c r="U60" s="19"/>
      <c r="V60" s="19"/>
      <c r="W60" s="19"/>
      <c r="X60" s="19"/>
      <c r="Y60" s="19"/>
      <c r="AA60" s="60"/>
      <c r="AB60" s="60"/>
      <c r="AC60" s="20"/>
    </row>
    <row r="61">
      <c r="A61" s="35">
        <v>2.234</v>
      </c>
      <c r="B61" s="36">
        <v>-18.703</v>
      </c>
      <c r="C61" s="36">
        <v>6.241</v>
      </c>
      <c r="D61" s="36" t="s">
        <v>9</v>
      </c>
      <c r="E61" s="37">
        <v>-0.942</v>
      </c>
      <c r="F61" s="35">
        <v>10.643</v>
      </c>
      <c r="G61" s="36">
        <v>-9.09</v>
      </c>
      <c r="H61" s="36">
        <v>20.337</v>
      </c>
      <c r="I61" s="36" t="s">
        <v>9</v>
      </c>
      <c r="J61" s="37">
        <v>-1.196</v>
      </c>
      <c r="K61" s="45">
        <v>14.122</v>
      </c>
      <c r="L61" s="46">
        <v>-16.901</v>
      </c>
      <c r="M61" s="46">
        <v>19.949</v>
      </c>
      <c r="N61" s="46" t="s">
        <v>13</v>
      </c>
      <c r="O61" s="47">
        <v>-0.666</v>
      </c>
      <c r="Q61" s="66"/>
      <c r="R61" s="66"/>
      <c r="S61" s="66"/>
      <c r="T61" s="19"/>
      <c r="U61" s="19"/>
      <c r="V61" s="19"/>
      <c r="W61" s="19"/>
      <c r="X61" s="19"/>
      <c r="Y61" s="19"/>
      <c r="AA61" s="60"/>
      <c r="AB61" s="60"/>
      <c r="AC61" s="20"/>
    </row>
    <row r="62">
      <c r="A62" s="35">
        <v>9.179</v>
      </c>
      <c r="B62" s="36">
        <v>6.422</v>
      </c>
      <c r="C62" s="36">
        <v>-7.659</v>
      </c>
      <c r="D62" s="36" t="s">
        <v>6</v>
      </c>
      <c r="E62" s="37">
        <v>-0.932</v>
      </c>
      <c r="F62" s="35">
        <v>11.451</v>
      </c>
      <c r="G62" s="36">
        <v>-3.962</v>
      </c>
      <c r="H62" s="36">
        <v>-8.468</v>
      </c>
      <c r="I62" s="36" t="s">
        <v>6</v>
      </c>
      <c r="J62" s="37">
        <v>-1.195</v>
      </c>
      <c r="K62" s="45">
        <v>-7.827</v>
      </c>
      <c r="L62" s="46">
        <v>3.389</v>
      </c>
      <c r="M62" s="46">
        <v>-18.795</v>
      </c>
      <c r="N62" s="46" t="s">
        <v>6</v>
      </c>
      <c r="O62" s="47">
        <v>-0.663</v>
      </c>
      <c r="Q62" s="66"/>
      <c r="R62" s="66"/>
      <c r="S62" s="66"/>
      <c r="T62" s="19"/>
      <c r="U62" s="19"/>
      <c r="V62" s="19"/>
      <c r="W62" s="19"/>
      <c r="X62" s="19"/>
      <c r="Y62" s="19"/>
      <c r="AA62" s="60"/>
      <c r="AB62" s="60"/>
      <c r="AC62" s="20"/>
    </row>
    <row r="63">
      <c r="A63" s="35">
        <v>7.513</v>
      </c>
      <c r="B63" s="36">
        <v>4.874</v>
      </c>
      <c r="C63" s="36">
        <v>-23.429</v>
      </c>
      <c r="D63" s="36" t="s">
        <v>3</v>
      </c>
      <c r="E63" s="37">
        <v>-0.931</v>
      </c>
      <c r="F63" s="35">
        <v>8.817</v>
      </c>
      <c r="G63" s="36">
        <v>-5.038</v>
      </c>
      <c r="H63" s="36">
        <v>-4.072</v>
      </c>
      <c r="I63" s="36" t="s">
        <v>6</v>
      </c>
      <c r="J63" s="37">
        <v>-1.194</v>
      </c>
      <c r="K63" s="35">
        <v>0.503</v>
      </c>
      <c r="L63" s="36">
        <v>-14.927</v>
      </c>
      <c r="M63" s="36">
        <v>7.58</v>
      </c>
      <c r="N63" s="36" t="s">
        <v>16</v>
      </c>
      <c r="O63" s="37">
        <v>-0.661</v>
      </c>
      <c r="Q63" s="66"/>
      <c r="R63" s="66"/>
      <c r="S63" s="66"/>
      <c r="T63" s="19"/>
      <c r="U63" s="19"/>
      <c r="V63" s="19"/>
      <c r="W63" s="19"/>
      <c r="X63" s="19"/>
      <c r="Y63" s="19"/>
      <c r="AA63" s="60"/>
      <c r="AB63" s="60"/>
      <c r="AC63" s="20"/>
    </row>
    <row r="64">
      <c r="A64" s="35">
        <v>-8.038</v>
      </c>
      <c r="B64" s="36">
        <v>1.506</v>
      </c>
      <c r="C64" s="36">
        <v>13.845</v>
      </c>
      <c r="D64" s="36" t="s">
        <v>16</v>
      </c>
      <c r="E64" s="37">
        <v>-0.925</v>
      </c>
      <c r="F64" s="35">
        <v>8.163</v>
      </c>
      <c r="G64" s="36">
        <v>4.907</v>
      </c>
      <c r="H64" s="36">
        <v>-23.155</v>
      </c>
      <c r="I64" s="36" t="s">
        <v>8</v>
      </c>
      <c r="J64" s="37">
        <v>-1.193</v>
      </c>
      <c r="K64" s="35">
        <v>8.71</v>
      </c>
      <c r="L64" s="36">
        <v>3.48</v>
      </c>
      <c r="M64" s="36">
        <v>19.116</v>
      </c>
      <c r="N64" s="36" t="s">
        <v>13</v>
      </c>
      <c r="O64" s="37">
        <v>-0.66</v>
      </c>
      <c r="Q64" s="66"/>
      <c r="R64" s="66"/>
      <c r="S64" s="66"/>
      <c r="T64" s="19"/>
      <c r="U64" s="19"/>
      <c r="V64" s="19"/>
      <c r="W64" s="19"/>
      <c r="X64" s="19"/>
      <c r="Y64" s="19"/>
      <c r="AA64" s="60"/>
      <c r="AB64" s="60"/>
      <c r="AC64" s="20"/>
    </row>
    <row r="65">
      <c r="A65" s="35">
        <v>-5.979</v>
      </c>
      <c r="B65" s="36">
        <v>4.719</v>
      </c>
      <c r="C65" s="36">
        <v>-18.125</v>
      </c>
      <c r="D65" s="36" t="s">
        <v>6</v>
      </c>
      <c r="E65" s="37">
        <v>-0.922</v>
      </c>
      <c r="F65" s="35">
        <v>-6.991</v>
      </c>
      <c r="G65" s="36">
        <v>5.171</v>
      </c>
      <c r="H65" s="36">
        <v>-18.968</v>
      </c>
      <c r="I65" s="36" t="s">
        <v>6</v>
      </c>
      <c r="J65" s="37">
        <v>-1.193</v>
      </c>
      <c r="K65" s="35">
        <v>-6.389</v>
      </c>
      <c r="L65" s="36">
        <v>6.966</v>
      </c>
      <c r="M65" s="36">
        <v>8.699</v>
      </c>
      <c r="N65" s="36" t="s">
        <v>18</v>
      </c>
      <c r="O65" s="37">
        <v>-0.657</v>
      </c>
      <c r="Q65" s="66"/>
      <c r="R65" s="66"/>
      <c r="S65" s="66"/>
      <c r="T65" s="19"/>
      <c r="U65" s="19"/>
      <c r="V65" s="19"/>
      <c r="W65" s="19"/>
      <c r="X65" s="19"/>
      <c r="Y65" s="19"/>
      <c r="AA65" s="60"/>
      <c r="AB65" s="60"/>
      <c r="AC65" s="20"/>
    </row>
    <row r="66">
      <c r="A66" s="48">
        <v>-6.991</v>
      </c>
      <c r="B66" s="49">
        <v>5.171</v>
      </c>
      <c r="C66" s="49">
        <v>-18.968</v>
      </c>
      <c r="D66" s="49" t="s">
        <v>6</v>
      </c>
      <c r="E66" s="50">
        <v>-0.92</v>
      </c>
      <c r="F66" s="48">
        <v>-8.472</v>
      </c>
      <c r="G66" s="49">
        <v>7.855</v>
      </c>
      <c r="H66" s="49">
        <v>-4.017</v>
      </c>
      <c r="I66" s="49" t="s">
        <v>15</v>
      </c>
      <c r="J66" s="50">
        <v>-1.191</v>
      </c>
      <c r="K66" s="48">
        <v>10.965</v>
      </c>
      <c r="L66" s="49">
        <v>4.527</v>
      </c>
      <c r="M66" s="49">
        <v>-11.704</v>
      </c>
      <c r="N66" s="49" t="s">
        <v>6</v>
      </c>
      <c r="O66" s="50">
        <v>-0.652</v>
      </c>
      <c r="Q66" s="66"/>
      <c r="R66" s="66"/>
      <c r="S66" s="66"/>
      <c r="T66" s="19"/>
      <c r="U66" s="19"/>
      <c r="V66" s="19"/>
      <c r="W66" s="19"/>
      <c r="X66" s="19"/>
      <c r="Y66" s="19"/>
      <c r="AA66" s="60"/>
      <c r="AB66" s="60"/>
      <c r="AC66" s="20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Q67" s="66"/>
      <c r="R67" s="66"/>
      <c r="S67" s="66"/>
      <c r="T67" s="19"/>
      <c r="U67" s="19"/>
      <c r="V67" s="19"/>
      <c r="W67" s="19"/>
      <c r="X67" s="19"/>
      <c r="Y67" s="19"/>
      <c r="AA67" s="60"/>
      <c r="AB67" s="60"/>
      <c r="AC67" s="20"/>
    </row>
    <row r="68">
      <c r="A68" s="54" t="s">
        <v>43</v>
      </c>
      <c r="B68" s="55"/>
      <c r="C68" s="56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Q68" s="66"/>
      <c r="R68" s="66"/>
      <c r="S68" s="66"/>
      <c r="T68" s="19"/>
      <c r="U68" s="19"/>
      <c r="V68" s="19"/>
      <c r="W68" s="19"/>
      <c r="X68" s="19"/>
      <c r="Y68" s="19"/>
      <c r="AA68" s="60"/>
      <c r="AB68" s="60"/>
      <c r="AC68" s="20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Q69" s="66"/>
      <c r="R69" s="66"/>
      <c r="S69" s="66"/>
      <c r="T69" s="19"/>
      <c r="U69" s="19"/>
      <c r="V69" s="19"/>
      <c r="W69" s="19"/>
      <c r="X69" s="19"/>
      <c r="Y69" s="19"/>
      <c r="AA69" s="60"/>
      <c r="AB69" s="60"/>
      <c r="AC69" s="20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Q70" s="66"/>
      <c r="R70" s="66"/>
      <c r="S70" s="66"/>
      <c r="T70" s="19"/>
      <c r="U70" s="19"/>
      <c r="V70" s="19"/>
      <c r="W70" s="19"/>
      <c r="X70" s="19"/>
      <c r="Y70" s="19"/>
      <c r="AA70" s="60"/>
      <c r="AB70" s="60"/>
      <c r="AC70" s="20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Q71" s="66"/>
      <c r="R71" s="66"/>
      <c r="S71" s="66"/>
      <c r="T71" s="19"/>
      <c r="U71" s="19"/>
      <c r="V71" s="19"/>
      <c r="W71" s="19"/>
      <c r="X71" s="19"/>
      <c r="Y71" s="19"/>
      <c r="AA71" s="60"/>
      <c r="AB71" s="60"/>
      <c r="AC71" s="20"/>
    </row>
    <row r="72">
      <c r="A72" s="71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Q72" s="66"/>
      <c r="R72" s="66"/>
      <c r="S72" s="66"/>
      <c r="T72" s="19"/>
      <c r="U72" s="19"/>
      <c r="V72" s="19"/>
      <c r="W72" s="19"/>
      <c r="X72" s="19"/>
      <c r="Y72" s="19"/>
      <c r="AA72" s="60"/>
      <c r="AB72" s="60"/>
      <c r="AC72" s="20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Q73" s="66"/>
      <c r="R73" s="66"/>
      <c r="S73" s="66"/>
      <c r="T73" s="19"/>
      <c r="U73" s="19"/>
      <c r="V73" s="19"/>
      <c r="W73" s="19"/>
      <c r="X73" s="19"/>
      <c r="Y73" s="19"/>
      <c r="AA73" s="60"/>
      <c r="AB73" s="60"/>
      <c r="AC73" s="20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Q74" s="66"/>
      <c r="R74" s="66"/>
      <c r="S74" s="66"/>
      <c r="T74" s="19"/>
      <c r="U74" s="19"/>
      <c r="V74" s="19"/>
      <c r="W74" s="19"/>
      <c r="X74" s="19"/>
      <c r="Y74" s="19"/>
      <c r="AA74" s="60"/>
      <c r="AB74" s="60"/>
      <c r="AC74" s="20"/>
    </row>
    <row r="75">
      <c r="A75" s="53"/>
      <c r="B75" s="53"/>
      <c r="C75" s="36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Q75" s="66"/>
      <c r="R75" s="66"/>
      <c r="S75" s="66"/>
      <c r="T75" s="19"/>
      <c r="U75" s="19"/>
      <c r="V75" s="19"/>
      <c r="W75" s="19"/>
      <c r="X75" s="19"/>
      <c r="Y75" s="19"/>
      <c r="AA75" s="60"/>
      <c r="AB75" s="60"/>
      <c r="AC75" s="20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Q76" s="66"/>
      <c r="R76" s="66"/>
      <c r="S76" s="66"/>
      <c r="T76" s="19"/>
      <c r="U76" s="19"/>
      <c r="V76" s="19"/>
      <c r="W76" s="19"/>
      <c r="X76" s="19"/>
      <c r="Y76" s="19"/>
      <c r="AA76" s="60"/>
      <c r="AB76" s="60"/>
      <c r="AC76" s="20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Q77" s="66"/>
      <c r="R77" s="66"/>
      <c r="S77" s="66"/>
      <c r="T77" s="19"/>
      <c r="U77" s="19"/>
      <c r="V77" s="19"/>
      <c r="W77" s="19"/>
      <c r="X77" s="19"/>
      <c r="Y77" s="19"/>
      <c r="AA77" s="60"/>
      <c r="AB77" s="60"/>
      <c r="AC77" s="20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Q78" s="66"/>
      <c r="R78" s="66"/>
      <c r="S78" s="66"/>
      <c r="T78" s="19"/>
      <c r="U78" s="19"/>
      <c r="V78" s="19"/>
      <c r="W78" s="19"/>
      <c r="X78" s="19"/>
      <c r="Y78" s="19"/>
      <c r="AA78" s="60"/>
      <c r="AB78" s="60"/>
      <c r="AC78" s="20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Q79" s="66"/>
      <c r="R79" s="66"/>
      <c r="S79" s="66"/>
      <c r="T79" s="19"/>
      <c r="U79" s="19"/>
      <c r="V79" s="19"/>
      <c r="W79" s="19"/>
      <c r="X79" s="19"/>
      <c r="Y79" s="19"/>
      <c r="AA79" s="60"/>
      <c r="AB79" s="60"/>
      <c r="AC79" s="20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Q80" s="66"/>
      <c r="R80" s="66"/>
      <c r="S80" s="66"/>
      <c r="T80" s="19"/>
      <c r="U80" s="19"/>
      <c r="V80" s="19"/>
      <c r="W80" s="19"/>
      <c r="X80" s="19"/>
      <c r="Y80" s="19"/>
      <c r="AA80" s="60"/>
      <c r="AB80" s="60"/>
      <c r="AC80" s="20"/>
    </row>
    <row r="81">
      <c r="A81" s="58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Q81" s="66"/>
      <c r="R81" s="66"/>
      <c r="S81" s="66"/>
      <c r="T81" s="19"/>
      <c r="U81" s="19"/>
      <c r="V81" s="19"/>
      <c r="W81" s="19"/>
      <c r="X81" s="19"/>
      <c r="Y81" s="19"/>
      <c r="AA81" s="60"/>
      <c r="AB81" s="60"/>
      <c r="AC81" s="20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Q82" s="66"/>
      <c r="R82" s="66"/>
      <c r="S82" s="66"/>
      <c r="T82" s="19"/>
      <c r="U82" s="19"/>
      <c r="V82" s="19"/>
      <c r="W82" s="19"/>
      <c r="X82" s="19"/>
      <c r="Y82" s="19"/>
      <c r="AA82" s="60"/>
      <c r="AB82" s="60"/>
      <c r="AC82" s="20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Q83" s="66"/>
      <c r="R83" s="66"/>
      <c r="S83" s="66"/>
      <c r="T83" s="19"/>
      <c r="U83" s="19"/>
      <c r="V83" s="19"/>
      <c r="W83" s="19"/>
      <c r="X83" s="19"/>
      <c r="Y83" s="19"/>
      <c r="AA83" s="60"/>
      <c r="AB83" s="60"/>
      <c r="AC83" s="20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Q84" s="66"/>
      <c r="R84" s="66"/>
      <c r="S84" s="66"/>
      <c r="T84" s="19"/>
      <c r="U84" s="19"/>
      <c r="V84" s="19"/>
      <c r="W84" s="19"/>
      <c r="X84" s="19"/>
      <c r="Y84" s="19"/>
      <c r="AA84" s="60"/>
      <c r="AB84" s="60"/>
      <c r="AC84" s="20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Q85" s="66"/>
      <c r="R85" s="66"/>
      <c r="S85" s="66"/>
      <c r="T85" s="19"/>
      <c r="U85" s="19"/>
      <c r="V85" s="19"/>
      <c r="W85" s="19"/>
      <c r="X85" s="19"/>
      <c r="Y85" s="19"/>
      <c r="AA85" s="60"/>
      <c r="AB85" s="60"/>
      <c r="AC85" s="20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Q86" s="66"/>
      <c r="R86" s="66"/>
      <c r="S86" s="66"/>
      <c r="T86" s="19"/>
      <c r="U86" s="19"/>
      <c r="V86" s="19"/>
      <c r="W86" s="19"/>
      <c r="X86" s="19"/>
      <c r="Y86" s="19"/>
      <c r="AA86" s="60"/>
      <c r="AB86" s="60"/>
      <c r="AC86" s="20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Q87" s="66"/>
      <c r="R87" s="66"/>
      <c r="S87" s="66"/>
      <c r="T87" s="19"/>
      <c r="U87" s="19"/>
      <c r="V87" s="19"/>
      <c r="W87" s="19"/>
      <c r="X87" s="19"/>
      <c r="Y87" s="19"/>
      <c r="AA87" s="60"/>
      <c r="AB87" s="60"/>
      <c r="AC87" s="20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Q88" s="66"/>
      <c r="R88" s="66"/>
      <c r="S88" s="66"/>
      <c r="T88" s="19"/>
      <c r="U88" s="19"/>
      <c r="V88" s="19"/>
      <c r="W88" s="19"/>
      <c r="X88" s="19"/>
      <c r="Y88" s="19"/>
      <c r="AA88" s="60"/>
      <c r="AB88" s="60"/>
      <c r="AC88" s="20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Q89" s="66"/>
      <c r="R89" s="66"/>
      <c r="S89" s="66"/>
      <c r="T89" s="19"/>
      <c r="U89" s="19"/>
      <c r="V89" s="19"/>
      <c r="W89" s="19"/>
      <c r="X89" s="19"/>
      <c r="Y89" s="19"/>
      <c r="AA89" s="60"/>
      <c r="AB89" s="60"/>
      <c r="AC89" s="20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Q90" s="66"/>
      <c r="R90" s="66"/>
      <c r="S90" s="66"/>
      <c r="T90" s="19"/>
      <c r="U90" s="19"/>
      <c r="V90" s="19"/>
      <c r="W90" s="19"/>
      <c r="X90" s="19"/>
      <c r="Y90" s="19"/>
      <c r="AA90" s="60"/>
      <c r="AB90" s="60"/>
      <c r="AC90" s="20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Q91" s="66"/>
      <c r="R91" s="66"/>
      <c r="S91" s="66"/>
      <c r="T91" s="19"/>
      <c r="U91" s="19"/>
      <c r="V91" s="19"/>
      <c r="W91" s="19"/>
      <c r="X91" s="19"/>
      <c r="Y91" s="19"/>
      <c r="AA91" s="60"/>
      <c r="AB91" s="60"/>
      <c r="AC91" s="20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Q92" s="66"/>
      <c r="R92" s="66"/>
      <c r="S92" s="66"/>
      <c r="T92" s="19"/>
      <c r="U92" s="19"/>
      <c r="V92" s="19"/>
      <c r="W92" s="19"/>
      <c r="X92" s="19"/>
      <c r="Y92" s="19"/>
      <c r="AA92" s="60"/>
      <c r="AB92" s="60"/>
      <c r="AC92" s="20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Q93" s="66"/>
      <c r="R93" s="66"/>
      <c r="S93" s="66"/>
      <c r="T93" s="19"/>
      <c r="U93" s="19"/>
      <c r="V93" s="19"/>
      <c r="W93" s="19"/>
      <c r="X93" s="19"/>
      <c r="Y93" s="19"/>
      <c r="AA93" s="60"/>
      <c r="AB93" s="60"/>
      <c r="AC93" s="20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Q94" s="66"/>
      <c r="R94" s="66"/>
      <c r="S94" s="66"/>
      <c r="T94" s="19"/>
      <c r="U94" s="19"/>
      <c r="V94" s="19"/>
      <c r="W94" s="19"/>
      <c r="X94" s="19"/>
      <c r="Y94" s="19"/>
      <c r="AA94" s="60"/>
      <c r="AB94" s="60"/>
      <c r="AC94" s="20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Q95" s="66"/>
      <c r="R95" s="66"/>
      <c r="S95" s="66"/>
      <c r="T95" s="19"/>
      <c r="U95" s="19"/>
      <c r="V95" s="19"/>
      <c r="W95" s="19"/>
      <c r="X95" s="19"/>
      <c r="Y95" s="19"/>
      <c r="AA95" s="60"/>
      <c r="AB95" s="60"/>
      <c r="AC95" s="20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Q96" s="66"/>
      <c r="R96" s="66"/>
      <c r="S96" s="66"/>
      <c r="T96" s="19"/>
      <c r="U96" s="19"/>
      <c r="V96" s="19"/>
      <c r="W96" s="19"/>
      <c r="X96" s="19"/>
      <c r="Y96" s="19"/>
      <c r="AA96" s="60"/>
      <c r="AB96" s="60"/>
      <c r="AC96" s="20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Q97" s="66"/>
      <c r="R97" s="66"/>
      <c r="S97" s="66"/>
      <c r="T97" s="19"/>
      <c r="U97" s="19"/>
      <c r="V97" s="19"/>
      <c r="W97" s="19"/>
      <c r="X97" s="19"/>
      <c r="Y97" s="19"/>
      <c r="AA97" s="60"/>
      <c r="AB97" s="60"/>
      <c r="AC97" s="20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Q98" s="66"/>
      <c r="R98" s="66"/>
      <c r="S98" s="66"/>
      <c r="T98" s="19"/>
      <c r="U98" s="19"/>
      <c r="V98" s="19"/>
      <c r="W98" s="19"/>
      <c r="X98" s="19"/>
      <c r="Y98" s="19"/>
      <c r="AA98" s="60"/>
      <c r="AB98" s="60"/>
      <c r="AC98" s="20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Q99" s="66"/>
      <c r="R99" s="66"/>
      <c r="S99" s="66"/>
      <c r="T99" s="19"/>
      <c r="U99" s="19"/>
      <c r="V99" s="19"/>
      <c r="W99" s="19"/>
      <c r="X99" s="19"/>
      <c r="Y99" s="19"/>
      <c r="AA99" s="60"/>
      <c r="AB99" s="60"/>
      <c r="AC99" s="20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Q100" s="66"/>
      <c r="R100" s="66"/>
      <c r="S100" s="66"/>
      <c r="T100" s="19"/>
      <c r="U100" s="19"/>
      <c r="V100" s="19"/>
      <c r="W100" s="19"/>
      <c r="X100" s="19"/>
      <c r="Y100" s="19"/>
      <c r="AA100" s="60"/>
      <c r="AB100" s="60"/>
      <c r="AC100" s="20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Q101" s="66"/>
      <c r="R101" s="66"/>
      <c r="S101" s="66"/>
      <c r="T101" s="19"/>
      <c r="U101" s="19"/>
      <c r="V101" s="19"/>
      <c r="W101" s="19"/>
      <c r="X101" s="19"/>
      <c r="Y101" s="19"/>
      <c r="AA101" s="60"/>
      <c r="AB101" s="60"/>
      <c r="AC101" s="20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Q102" s="66"/>
      <c r="R102" s="66"/>
      <c r="S102" s="66"/>
      <c r="T102" s="19"/>
      <c r="U102" s="19"/>
      <c r="V102" s="19"/>
      <c r="W102" s="19"/>
      <c r="X102" s="19"/>
      <c r="Y102" s="19"/>
      <c r="AA102" s="60"/>
      <c r="AB102" s="60"/>
      <c r="AC102" s="20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Q103" s="66"/>
      <c r="R103" s="66"/>
      <c r="S103" s="66"/>
      <c r="T103" s="19"/>
      <c r="U103" s="19"/>
      <c r="V103" s="19"/>
      <c r="W103" s="19"/>
      <c r="X103" s="19"/>
      <c r="Y103" s="19"/>
      <c r="AA103" s="60"/>
      <c r="AB103" s="60"/>
      <c r="AC103" s="20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Q104" s="66"/>
      <c r="R104" s="66"/>
      <c r="S104" s="66"/>
      <c r="T104" s="19"/>
      <c r="U104" s="19"/>
      <c r="V104" s="19"/>
      <c r="W104" s="19"/>
      <c r="X104" s="19"/>
      <c r="Y104" s="19"/>
      <c r="AA104" s="60"/>
      <c r="AB104" s="60"/>
      <c r="AC104" s="20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Q105" s="66"/>
      <c r="R105" s="66"/>
      <c r="S105" s="66"/>
      <c r="T105" s="19"/>
      <c r="U105" s="19"/>
      <c r="V105" s="19"/>
      <c r="W105" s="19"/>
      <c r="X105" s="19"/>
      <c r="Y105" s="19"/>
      <c r="AA105" s="60"/>
      <c r="AB105" s="60"/>
      <c r="AC105" s="20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Q106" s="66"/>
      <c r="R106" s="66"/>
      <c r="S106" s="66"/>
      <c r="T106" s="19"/>
      <c r="U106" s="19"/>
      <c r="V106" s="19"/>
      <c r="W106" s="19"/>
      <c r="X106" s="19"/>
      <c r="Y106" s="19"/>
      <c r="AA106" s="60"/>
      <c r="AB106" s="60"/>
      <c r="AC106" s="20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Q107" s="66"/>
      <c r="R107" s="66"/>
      <c r="S107" s="66"/>
      <c r="T107" s="19"/>
      <c r="U107" s="19"/>
      <c r="V107" s="19"/>
      <c r="W107" s="19"/>
      <c r="X107" s="19"/>
      <c r="Y107" s="19"/>
      <c r="AA107" s="60"/>
      <c r="AB107" s="60"/>
      <c r="AC107" s="20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Q108" s="66"/>
      <c r="R108" s="66"/>
      <c r="S108" s="66"/>
      <c r="T108" s="19"/>
      <c r="U108" s="19"/>
      <c r="V108" s="19"/>
      <c r="W108" s="19"/>
      <c r="X108" s="19"/>
      <c r="Y108" s="19"/>
      <c r="AA108" s="60"/>
      <c r="AB108" s="60"/>
      <c r="AC108" s="20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Q109" s="66"/>
      <c r="R109" s="66"/>
      <c r="S109" s="66"/>
      <c r="T109" s="19"/>
      <c r="U109" s="19"/>
      <c r="V109" s="19"/>
      <c r="W109" s="19"/>
      <c r="X109" s="19"/>
      <c r="Y109" s="19"/>
      <c r="AA109" s="60"/>
      <c r="AB109" s="60"/>
      <c r="AC109" s="20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Q110" s="66"/>
      <c r="R110" s="66"/>
      <c r="S110" s="66"/>
      <c r="T110" s="19"/>
      <c r="U110" s="19"/>
      <c r="V110" s="19"/>
      <c r="W110" s="19"/>
      <c r="X110" s="19"/>
      <c r="Y110" s="19"/>
      <c r="AA110" s="60"/>
      <c r="AB110" s="60"/>
      <c r="AC110" s="20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Q111" s="66"/>
      <c r="R111" s="66"/>
      <c r="S111" s="66"/>
      <c r="T111" s="19"/>
      <c r="U111" s="19"/>
      <c r="V111" s="19"/>
      <c r="W111" s="19"/>
      <c r="X111" s="19"/>
      <c r="Y111" s="19"/>
      <c r="AA111" s="60"/>
      <c r="AB111" s="60"/>
      <c r="AC111" s="20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Q112" s="66"/>
      <c r="R112" s="66"/>
      <c r="S112" s="66"/>
      <c r="T112" s="19"/>
      <c r="U112" s="19"/>
      <c r="V112" s="19"/>
      <c r="W112" s="19"/>
      <c r="X112" s="19"/>
      <c r="Y112" s="19"/>
      <c r="AA112" s="60"/>
      <c r="AB112" s="60"/>
      <c r="AC112" s="20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Q113" s="66"/>
      <c r="R113" s="66"/>
      <c r="S113" s="66"/>
      <c r="T113" s="19"/>
      <c r="U113" s="19"/>
      <c r="V113" s="19"/>
      <c r="W113" s="19"/>
      <c r="X113" s="19"/>
      <c r="Y113" s="19"/>
      <c r="AA113" s="60"/>
      <c r="AB113" s="60"/>
      <c r="AC113" s="20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Q114" s="66"/>
      <c r="R114" s="66"/>
      <c r="S114" s="66"/>
      <c r="T114" s="19"/>
      <c r="U114" s="19"/>
      <c r="V114" s="19"/>
      <c r="W114" s="19"/>
      <c r="X114" s="19"/>
      <c r="Y114" s="19"/>
      <c r="AA114" s="60"/>
      <c r="AB114" s="60"/>
      <c r="AC114" s="20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Q115" s="66"/>
      <c r="R115" s="66"/>
      <c r="S115" s="66"/>
      <c r="T115" s="19"/>
      <c r="U115" s="19"/>
      <c r="V115" s="19"/>
      <c r="W115" s="19"/>
      <c r="X115" s="19"/>
      <c r="Y115" s="19"/>
      <c r="AA115" s="60"/>
      <c r="AB115" s="60"/>
      <c r="AC115" s="20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Q116" s="66"/>
      <c r="R116" s="66"/>
      <c r="S116" s="66"/>
      <c r="T116" s="19"/>
      <c r="U116" s="19"/>
      <c r="V116" s="19"/>
      <c r="W116" s="19"/>
      <c r="X116" s="19"/>
      <c r="Y116" s="19"/>
      <c r="AA116" s="60"/>
      <c r="AB116" s="60"/>
      <c r="AC116" s="20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Q117" s="66"/>
      <c r="R117" s="66"/>
      <c r="S117" s="66"/>
      <c r="T117" s="19"/>
      <c r="U117" s="19"/>
      <c r="V117" s="19"/>
      <c r="W117" s="19"/>
      <c r="X117" s="19"/>
      <c r="Y117" s="19"/>
      <c r="AA117" s="60"/>
      <c r="AB117" s="60"/>
      <c r="AC117" s="20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Q118" s="66"/>
      <c r="R118" s="66"/>
      <c r="S118" s="66"/>
      <c r="T118" s="19"/>
      <c r="U118" s="19"/>
      <c r="V118" s="19"/>
      <c r="W118" s="19"/>
      <c r="X118" s="19"/>
      <c r="Y118" s="19"/>
      <c r="AA118" s="60"/>
      <c r="AB118" s="60"/>
      <c r="AC118" s="20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Q119" s="66"/>
      <c r="R119" s="66"/>
      <c r="S119" s="66"/>
      <c r="T119" s="19"/>
      <c r="U119" s="19"/>
      <c r="V119" s="19"/>
      <c r="W119" s="19"/>
      <c r="X119" s="19"/>
      <c r="Y119" s="19"/>
      <c r="AA119" s="60"/>
      <c r="AB119" s="60"/>
      <c r="AC119" s="20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Q120" s="66"/>
      <c r="R120" s="66"/>
      <c r="S120" s="66"/>
      <c r="T120" s="19"/>
      <c r="U120" s="19"/>
      <c r="V120" s="19"/>
      <c r="W120" s="19"/>
      <c r="X120" s="19"/>
      <c r="Y120" s="19"/>
      <c r="AA120" s="60"/>
      <c r="AB120" s="60"/>
      <c r="AC120" s="20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Q121" s="66"/>
      <c r="R121" s="66"/>
      <c r="S121" s="66"/>
      <c r="T121" s="19"/>
      <c r="U121" s="19"/>
      <c r="V121" s="19"/>
      <c r="W121" s="19"/>
      <c r="X121" s="19"/>
      <c r="Y121" s="19"/>
      <c r="AA121" s="60"/>
      <c r="AB121" s="60"/>
      <c r="AC121" s="20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Q122" s="66"/>
      <c r="R122" s="66"/>
      <c r="S122" s="66"/>
      <c r="T122" s="19"/>
      <c r="U122" s="19"/>
      <c r="V122" s="19"/>
      <c r="W122" s="19"/>
      <c r="X122" s="19"/>
      <c r="Y122" s="19"/>
      <c r="AA122" s="60"/>
      <c r="AB122" s="60"/>
      <c r="AC122" s="20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Q123" s="66"/>
      <c r="R123" s="66"/>
      <c r="S123" s="66"/>
      <c r="T123" s="19"/>
      <c r="U123" s="19"/>
      <c r="V123" s="19"/>
      <c r="W123" s="19"/>
      <c r="X123" s="19"/>
      <c r="Y123" s="19"/>
      <c r="AA123" s="60"/>
      <c r="AB123" s="60"/>
      <c r="AC123" s="20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Q124" s="66"/>
      <c r="R124" s="66"/>
      <c r="S124" s="66"/>
      <c r="T124" s="19"/>
      <c r="U124" s="19"/>
      <c r="V124" s="19"/>
      <c r="W124" s="19"/>
      <c r="X124" s="19"/>
      <c r="Y124" s="19"/>
      <c r="AA124" s="60"/>
      <c r="AB124" s="60"/>
      <c r="AC124" s="20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Q125" s="66"/>
      <c r="R125" s="66"/>
      <c r="S125" s="66"/>
      <c r="T125" s="19"/>
      <c r="U125" s="19"/>
      <c r="V125" s="19"/>
      <c r="W125" s="19"/>
      <c r="X125" s="19"/>
      <c r="Y125" s="19"/>
      <c r="AA125" s="60"/>
      <c r="AB125" s="60"/>
      <c r="AC125" s="20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Q126" s="66"/>
      <c r="R126" s="66"/>
      <c r="S126" s="66"/>
      <c r="T126" s="19"/>
      <c r="U126" s="19"/>
      <c r="V126" s="19"/>
      <c r="W126" s="19"/>
      <c r="X126" s="19"/>
      <c r="Y126" s="19"/>
      <c r="AA126" s="60"/>
      <c r="AB126" s="60"/>
      <c r="AC126" s="20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Q127" s="66"/>
      <c r="R127" s="66"/>
      <c r="S127" s="66"/>
      <c r="T127" s="19"/>
      <c r="U127" s="19"/>
      <c r="V127" s="19"/>
      <c r="W127" s="19"/>
      <c r="X127" s="19"/>
      <c r="Y127" s="19"/>
      <c r="AA127" s="60"/>
      <c r="AB127" s="60"/>
      <c r="AC127" s="20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Q128" s="66"/>
      <c r="R128" s="66"/>
      <c r="S128" s="66"/>
      <c r="T128" s="19"/>
      <c r="U128" s="19"/>
      <c r="V128" s="19"/>
      <c r="W128" s="19"/>
      <c r="X128" s="19"/>
      <c r="Y128" s="19"/>
      <c r="AA128" s="60"/>
      <c r="AB128" s="60"/>
      <c r="AC128" s="20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Q129" s="66"/>
      <c r="R129" s="66"/>
      <c r="S129" s="66"/>
      <c r="T129" s="19"/>
      <c r="U129" s="19"/>
      <c r="V129" s="19"/>
      <c r="W129" s="19"/>
      <c r="X129" s="19"/>
      <c r="Y129" s="19"/>
      <c r="AA129" s="60"/>
      <c r="AB129" s="60"/>
      <c r="AC129" s="20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Q130" s="66"/>
      <c r="R130" s="66"/>
      <c r="S130" s="66"/>
      <c r="T130" s="19"/>
      <c r="U130" s="19"/>
      <c r="V130" s="19"/>
      <c r="W130" s="19"/>
      <c r="X130" s="19"/>
      <c r="Y130" s="19"/>
      <c r="AA130" s="60"/>
      <c r="AB130" s="60"/>
      <c r="AC130" s="20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Q131" s="66"/>
      <c r="R131" s="66"/>
      <c r="S131" s="66"/>
      <c r="T131" s="19"/>
      <c r="U131" s="19"/>
      <c r="V131" s="19"/>
      <c r="W131" s="19"/>
      <c r="X131" s="19"/>
      <c r="Y131" s="19"/>
      <c r="AA131" s="60"/>
      <c r="AB131" s="60"/>
      <c r="AC131" s="20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Q132" s="66"/>
      <c r="R132" s="66"/>
      <c r="S132" s="66"/>
      <c r="T132" s="19"/>
      <c r="U132" s="19"/>
      <c r="V132" s="19"/>
      <c r="W132" s="19"/>
      <c r="X132" s="19"/>
      <c r="Y132" s="19"/>
      <c r="AA132" s="60"/>
      <c r="AB132" s="60"/>
      <c r="AC132" s="20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Q133" s="66"/>
      <c r="R133" s="66"/>
      <c r="S133" s="66"/>
      <c r="T133" s="19"/>
      <c r="U133" s="19"/>
      <c r="V133" s="19"/>
      <c r="W133" s="19"/>
      <c r="X133" s="19"/>
      <c r="Y133" s="19"/>
      <c r="AA133" s="60"/>
      <c r="AB133" s="60"/>
      <c r="AC133" s="20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Q134" s="66"/>
      <c r="R134" s="66"/>
      <c r="S134" s="66"/>
      <c r="T134" s="19"/>
      <c r="U134" s="19"/>
      <c r="V134" s="19"/>
      <c r="W134" s="19"/>
      <c r="X134" s="19"/>
      <c r="Y134" s="19"/>
      <c r="AA134" s="60"/>
      <c r="AB134" s="60"/>
      <c r="AC134" s="20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Q135" s="66"/>
      <c r="R135" s="66"/>
      <c r="S135" s="66"/>
      <c r="T135" s="19"/>
      <c r="U135" s="19"/>
      <c r="V135" s="19"/>
      <c r="W135" s="19"/>
      <c r="X135" s="19"/>
      <c r="Y135" s="19"/>
      <c r="AA135" s="60"/>
      <c r="AB135" s="60"/>
      <c r="AC135" s="20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Q136" s="66"/>
      <c r="R136" s="66"/>
      <c r="S136" s="66"/>
      <c r="T136" s="19"/>
      <c r="U136" s="19"/>
      <c r="V136" s="19"/>
      <c r="W136" s="19"/>
      <c r="X136" s="19"/>
      <c r="Y136" s="19"/>
      <c r="AA136" s="60"/>
      <c r="AB136" s="60"/>
      <c r="AC136" s="20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Q137" s="66"/>
      <c r="R137" s="66"/>
      <c r="S137" s="66"/>
      <c r="T137" s="19"/>
      <c r="U137" s="19"/>
      <c r="V137" s="19"/>
      <c r="W137" s="19"/>
      <c r="X137" s="19"/>
      <c r="Y137" s="19"/>
      <c r="AA137" s="60"/>
      <c r="AB137" s="60"/>
      <c r="AC137" s="20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Q138" s="66"/>
      <c r="R138" s="66"/>
      <c r="S138" s="66"/>
      <c r="T138" s="19"/>
      <c r="U138" s="19"/>
      <c r="V138" s="19"/>
      <c r="W138" s="19"/>
      <c r="X138" s="19"/>
      <c r="Y138" s="19"/>
      <c r="AA138" s="60"/>
      <c r="AB138" s="60"/>
      <c r="AC138" s="20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Q139" s="66"/>
      <c r="R139" s="66"/>
      <c r="S139" s="66"/>
      <c r="T139" s="19"/>
      <c r="U139" s="19"/>
      <c r="V139" s="19"/>
      <c r="W139" s="19"/>
      <c r="X139" s="19"/>
      <c r="Y139" s="19"/>
      <c r="AA139" s="60"/>
      <c r="AB139" s="60"/>
      <c r="AC139" s="20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Q140" s="66"/>
      <c r="R140" s="66"/>
      <c r="S140" s="66"/>
      <c r="T140" s="19"/>
      <c r="U140" s="19"/>
      <c r="V140" s="19"/>
      <c r="W140" s="19"/>
      <c r="X140" s="19"/>
      <c r="Y140" s="19"/>
      <c r="AA140" s="60"/>
      <c r="AB140" s="60"/>
      <c r="AC140" s="20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Q141" s="66"/>
      <c r="R141" s="66"/>
      <c r="S141" s="66"/>
      <c r="T141" s="19"/>
      <c r="U141" s="19"/>
      <c r="V141" s="19"/>
      <c r="W141" s="19"/>
      <c r="X141" s="19"/>
      <c r="Y141" s="19"/>
      <c r="AA141" s="60"/>
      <c r="AB141" s="60"/>
      <c r="AC141" s="20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Q142" s="66"/>
      <c r="R142" s="66"/>
      <c r="S142" s="66"/>
      <c r="T142" s="19"/>
      <c r="U142" s="19"/>
      <c r="V142" s="19"/>
      <c r="W142" s="19"/>
      <c r="X142" s="19"/>
      <c r="Y142" s="19"/>
      <c r="AA142" s="60"/>
      <c r="AB142" s="60"/>
      <c r="AC142" s="20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Q143" s="66"/>
      <c r="R143" s="66"/>
      <c r="S143" s="66"/>
      <c r="T143" s="19"/>
      <c r="U143" s="19"/>
      <c r="V143" s="19"/>
      <c r="W143" s="19"/>
      <c r="X143" s="19"/>
      <c r="Y143" s="19"/>
      <c r="AA143" s="60"/>
      <c r="AB143" s="60"/>
      <c r="AC143" s="20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Q144" s="66"/>
      <c r="R144" s="66"/>
      <c r="S144" s="66"/>
      <c r="T144" s="19"/>
      <c r="U144" s="19"/>
      <c r="V144" s="19"/>
      <c r="W144" s="19"/>
      <c r="X144" s="19"/>
      <c r="Y144" s="19"/>
      <c r="AA144" s="60"/>
      <c r="AB144" s="60"/>
      <c r="AC144" s="20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Q145" s="66"/>
      <c r="R145" s="66"/>
      <c r="S145" s="66"/>
      <c r="T145" s="19"/>
      <c r="U145" s="19"/>
      <c r="V145" s="19"/>
      <c r="W145" s="19"/>
      <c r="X145" s="19"/>
      <c r="Y145" s="19"/>
      <c r="AA145" s="60"/>
      <c r="AB145" s="60"/>
      <c r="AC145" s="20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Q146" s="66"/>
      <c r="R146" s="66"/>
      <c r="S146" s="66"/>
      <c r="T146" s="19"/>
      <c r="U146" s="19"/>
      <c r="V146" s="19"/>
      <c r="W146" s="19"/>
      <c r="X146" s="19"/>
      <c r="Y146" s="19"/>
      <c r="AA146" s="60"/>
      <c r="AB146" s="60"/>
      <c r="AC146" s="20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Q147" s="66"/>
      <c r="R147" s="66"/>
      <c r="S147" s="66"/>
      <c r="T147" s="19"/>
      <c r="U147" s="19"/>
      <c r="V147" s="19"/>
      <c r="W147" s="19"/>
      <c r="X147" s="19"/>
      <c r="Y147" s="19"/>
      <c r="AA147" s="60"/>
      <c r="AB147" s="60"/>
      <c r="AC147" s="20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Q148" s="66"/>
      <c r="R148" s="66"/>
      <c r="S148" s="66"/>
      <c r="T148" s="19"/>
      <c r="U148" s="19"/>
      <c r="V148" s="19"/>
      <c r="W148" s="19"/>
      <c r="X148" s="19"/>
      <c r="Y148" s="19"/>
      <c r="AA148" s="60"/>
      <c r="AB148" s="60"/>
      <c r="AC148" s="20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Q149" s="66"/>
      <c r="R149" s="66"/>
      <c r="S149" s="66"/>
      <c r="T149" s="19"/>
      <c r="U149" s="19"/>
      <c r="V149" s="19"/>
      <c r="W149" s="19"/>
      <c r="X149" s="19"/>
      <c r="Y149" s="19"/>
      <c r="AA149" s="60"/>
      <c r="AB149" s="60"/>
      <c r="AC149" s="20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Q150" s="66"/>
      <c r="R150" s="66"/>
      <c r="S150" s="66"/>
      <c r="T150" s="19"/>
      <c r="U150" s="19"/>
      <c r="V150" s="19"/>
      <c r="W150" s="19"/>
      <c r="X150" s="19"/>
      <c r="Y150" s="19"/>
      <c r="AA150" s="60"/>
      <c r="AB150" s="60"/>
      <c r="AC150" s="20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Q151" s="66"/>
      <c r="R151" s="66"/>
      <c r="S151" s="66"/>
      <c r="T151" s="19"/>
      <c r="U151" s="19"/>
      <c r="V151" s="19"/>
      <c r="W151" s="19"/>
      <c r="X151" s="19"/>
      <c r="Y151" s="19"/>
      <c r="AA151" s="60"/>
      <c r="AB151" s="60"/>
      <c r="AC151" s="20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Q152" s="66"/>
      <c r="R152" s="66"/>
      <c r="S152" s="66"/>
      <c r="T152" s="19"/>
      <c r="U152" s="19"/>
      <c r="V152" s="19"/>
      <c r="W152" s="19"/>
      <c r="X152" s="19"/>
      <c r="Y152" s="19"/>
      <c r="AA152" s="60"/>
      <c r="AB152" s="60"/>
      <c r="AC152" s="20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Q153" s="66"/>
      <c r="R153" s="66"/>
      <c r="S153" s="66"/>
      <c r="T153" s="19"/>
      <c r="U153" s="19"/>
      <c r="V153" s="19"/>
      <c r="W153" s="19"/>
      <c r="X153" s="19"/>
      <c r="Y153" s="19"/>
      <c r="AA153" s="60"/>
      <c r="AB153" s="60"/>
      <c r="AC153" s="20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Q154" s="66"/>
      <c r="R154" s="66"/>
      <c r="S154" s="66"/>
      <c r="T154" s="19"/>
      <c r="U154" s="19"/>
      <c r="V154" s="19"/>
      <c r="W154" s="19"/>
      <c r="X154" s="19"/>
      <c r="Y154" s="19"/>
      <c r="AA154" s="60"/>
      <c r="AB154" s="60"/>
      <c r="AC154" s="20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Q155" s="66"/>
      <c r="R155" s="66"/>
      <c r="S155" s="66"/>
      <c r="T155" s="19"/>
      <c r="U155" s="19"/>
      <c r="V155" s="19"/>
      <c r="W155" s="19"/>
      <c r="X155" s="19"/>
      <c r="Y155" s="19"/>
      <c r="AA155" s="60"/>
      <c r="AB155" s="60"/>
      <c r="AC155" s="20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Q156" s="66"/>
      <c r="R156" s="66"/>
      <c r="S156" s="66"/>
      <c r="T156" s="19"/>
      <c r="U156" s="19"/>
      <c r="V156" s="19"/>
      <c r="W156" s="19"/>
      <c r="X156" s="19"/>
      <c r="Y156" s="19"/>
      <c r="AA156" s="60"/>
      <c r="AB156" s="60"/>
      <c r="AC156" s="20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Q157" s="66"/>
      <c r="R157" s="66"/>
      <c r="S157" s="66"/>
      <c r="T157" s="19"/>
      <c r="U157" s="19"/>
      <c r="V157" s="19"/>
      <c r="W157" s="19"/>
      <c r="X157" s="19"/>
      <c r="Y157" s="19"/>
      <c r="AA157" s="60"/>
      <c r="AB157" s="60"/>
      <c r="AC157" s="20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Q158" s="66"/>
      <c r="R158" s="66"/>
      <c r="S158" s="66"/>
      <c r="T158" s="19"/>
      <c r="U158" s="19"/>
      <c r="V158" s="19"/>
      <c r="W158" s="19"/>
      <c r="X158" s="19"/>
      <c r="Y158" s="19"/>
      <c r="AA158" s="60"/>
      <c r="AB158" s="60"/>
      <c r="AC158" s="20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Q159" s="66"/>
      <c r="R159" s="66"/>
      <c r="S159" s="66"/>
      <c r="T159" s="19"/>
      <c r="U159" s="19"/>
      <c r="V159" s="19"/>
      <c r="W159" s="19"/>
      <c r="X159" s="19"/>
      <c r="Y159" s="19"/>
      <c r="AA159" s="60"/>
      <c r="AB159" s="60"/>
      <c r="AC159" s="20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Q160" s="66"/>
      <c r="R160" s="66"/>
      <c r="S160" s="66"/>
      <c r="T160" s="19"/>
      <c r="U160" s="19"/>
      <c r="V160" s="19"/>
      <c r="W160" s="19"/>
      <c r="X160" s="19"/>
      <c r="Y160" s="19"/>
      <c r="AA160" s="60"/>
      <c r="AB160" s="60"/>
      <c r="AC160" s="20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Q161" s="66"/>
      <c r="R161" s="66"/>
      <c r="S161" s="66"/>
      <c r="T161" s="19"/>
      <c r="U161" s="19"/>
      <c r="V161" s="19"/>
      <c r="W161" s="19"/>
      <c r="X161" s="19"/>
      <c r="Y161" s="19"/>
      <c r="AA161" s="60"/>
      <c r="AB161" s="60"/>
      <c r="AC161" s="20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Q162" s="66"/>
      <c r="R162" s="66"/>
      <c r="S162" s="66"/>
      <c r="T162" s="19"/>
      <c r="U162" s="19"/>
      <c r="V162" s="19"/>
      <c r="W162" s="19"/>
      <c r="X162" s="19"/>
      <c r="Y162" s="19"/>
      <c r="AA162" s="60"/>
      <c r="AB162" s="60"/>
      <c r="AC162" s="20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Q163" s="66"/>
      <c r="R163" s="66"/>
      <c r="S163" s="66"/>
      <c r="T163" s="19"/>
      <c r="U163" s="19"/>
      <c r="V163" s="19"/>
      <c r="W163" s="19"/>
      <c r="X163" s="19"/>
      <c r="Y163" s="19"/>
      <c r="AA163" s="60"/>
      <c r="AB163" s="60"/>
      <c r="AC163" s="20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Q164" s="66"/>
      <c r="R164" s="66"/>
      <c r="S164" s="66"/>
      <c r="T164" s="19"/>
      <c r="U164" s="19"/>
      <c r="V164" s="19"/>
      <c r="W164" s="19"/>
      <c r="X164" s="19"/>
      <c r="Y164" s="19"/>
      <c r="AA164" s="60"/>
      <c r="AB164" s="60"/>
      <c r="AC164" s="20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Q165" s="66"/>
      <c r="R165" s="66"/>
      <c r="S165" s="66"/>
      <c r="T165" s="19"/>
      <c r="U165" s="19"/>
      <c r="V165" s="19"/>
      <c r="W165" s="19"/>
      <c r="X165" s="19"/>
      <c r="Y165" s="19"/>
      <c r="AA165" s="60"/>
      <c r="AB165" s="60"/>
      <c r="AC165" s="20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Q166" s="66"/>
      <c r="R166" s="66"/>
      <c r="S166" s="66"/>
      <c r="T166" s="19"/>
      <c r="U166" s="19"/>
      <c r="V166" s="19"/>
      <c r="W166" s="19"/>
      <c r="X166" s="19"/>
      <c r="Y166" s="19"/>
      <c r="AA166" s="60"/>
      <c r="AB166" s="60"/>
      <c r="AC166" s="20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Q167" s="66"/>
      <c r="R167" s="66"/>
      <c r="S167" s="66"/>
      <c r="T167" s="19"/>
      <c r="U167" s="19"/>
      <c r="V167" s="19"/>
      <c r="W167" s="19"/>
      <c r="X167" s="19"/>
      <c r="Y167" s="19"/>
      <c r="AA167" s="60"/>
      <c r="AB167" s="60"/>
      <c r="AC167" s="20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Q168" s="66"/>
      <c r="R168" s="66"/>
      <c r="S168" s="66"/>
      <c r="T168" s="19"/>
      <c r="U168" s="19"/>
      <c r="V168" s="19"/>
      <c r="W168" s="19"/>
      <c r="X168" s="19"/>
      <c r="Y168" s="19"/>
      <c r="AA168" s="60"/>
      <c r="AB168" s="60"/>
      <c r="AC168" s="20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Q169" s="66"/>
      <c r="R169" s="66"/>
      <c r="S169" s="66"/>
      <c r="T169" s="19"/>
      <c r="U169" s="19"/>
      <c r="V169" s="19"/>
      <c r="W169" s="19"/>
      <c r="X169" s="19"/>
      <c r="Y169" s="19"/>
      <c r="AA169" s="60"/>
      <c r="AB169" s="60"/>
      <c r="AC169" s="20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Q170" s="66"/>
      <c r="R170" s="66"/>
      <c r="S170" s="66"/>
      <c r="T170" s="19"/>
      <c r="U170" s="19"/>
      <c r="V170" s="19"/>
      <c r="W170" s="19"/>
      <c r="X170" s="19"/>
      <c r="Y170" s="19"/>
      <c r="AA170" s="60"/>
      <c r="AB170" s="60"/>
      <c r="AC170" s="20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Q171" s="66"/>
      <c r="R171" s="66"/>
      <c r="S171" s="66"/>
      <c r="T171" s="19"/>
      <c r="U171" s="19"/>
      <c r="V171" s="19"/>
      <c r="W171" s="19"/>
      <c r="X171" s="19"/>
      <c r="Y171" s="19"/>
      <c r="AA171" s="60"/>
      <c r="AB171" s="60"/>
      <c r="AC171" s="20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Q172" s="66"/>
      <c r="R172" s="66"/>
      <c r="S172" s="66"/>
      <c r="T172" s="19"/>
      <c r="U172" s="19"/>
      <c r="V172" s="19"/>
      <c r="W172" s="19"/>
      <c r="X172" s="19"/>
      <c r="Y172" s="19"/>
      <c r="AA172" s="60"/>
      <c r="AB172" s="60"/>
      <c r="AC172" s="20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Q173" s="66"/>
      <c r="R173" s="66"/>
      <c r="S173" s="66"/>
      <c r="T173" s="19"/>
      <c r="U173" s="19"/>
      <c r="V173" s="19"/>
      <c r="W173" s="19"/>
      <c r="X173" s="19"/>
      <c r="Y173" s="19"/>
      <c r="AA173" s="60"/>
      <c r="AB173" s="60"/>
      <c r="AC173" s="20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Q174" s="66"/>
      <c r="R174" s="66"/>
      <c r="S174" s="66"/>
      <c r="T174" s="19"/>
      <c r="U174" s="19"/>
      <c r="V174" s="19"/>
      <c r="W174" s="19"/>
      <c r="X174" s="19"/>
      <c r="Y174" s="19"/>
      <c r="AA174" s="60"/>
      <c r="AB174" s="60"/>
      <c r="AC174" s="20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Q175" s="66"/>
      <c r="R175" s="66"/>
      <c r="S175" s="66"/>
      <c r="T175" s="19"/>
      <c r="U175" s="19"/>
      <c r="V175" s="19"/>
      <c r="W175" s="19"/>
      <c r="X175" s="19"/>
      <c r="Y175" s="19"/>
      <c r="AA175" s="60"/>
      <c r="AB175" s="60"/>
      <c r="AC175" s="20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Q176" s="66"/>
      <c r="R176" s="66"/>
      <c r="S176" s="66"/>
      <c r="T176" s="19"/>
      <c r="U176" s="19"/>
      <c r="V176" s="19"/>
      <c r="W176" s="19"/>
      <c r="X176" s="19"/>
      <c r="Y176" s="19"/>
      <c r="AA176" s="60"/>
      <c r="AB176" s="60"/>
      <c r="AC176" s="20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Q177" s="66"/>
      <c r="R177" s="66"/>
      <c r="S177" s="66"/>
      <c r="T177" s="19"/>
      <c r="U177" s="19"/>
      <c r="V177" s="19"/>
      <c r="W177" s="19"/>
      <c r="X177" s="19"/>
      <c r="Y177" s="19"/>
      <c r="AA177" s="60"/>
      <c r="AB177" s="60"/>
      <c r="AC177" s="20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Q178" s="66"/>
      <c r="R178" s="66"/>
      <c r="S178" s="66"/>
      <c r="T178" s="19"/>
      <c r="U178" s="19"/>
      <c r="V178" s="19"/>
      <c r="W178" s="19"/>
      <c r="X178" s="19"/>
      <c r="Y178" s="19"/>
      <c r="AA178" s="60"/>
      <c r="AB178" s="60"/>
      <c r="AC178" s="20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Q179" s="66"/>
      <c r="R179" s="66"/>
      <c r="S179" s="66"/>
      <c r="T179" s="19"/>
      <c r="U179" s="19"/>
      <c r="V179" s="19"/>
      <c r="W179" s="19"/>
      <c r="X179" s="19"/>
      <c r="Y179" s="19"/>
      <c r="AA179" s="60"/>
      <c r="AB179" s="60"/>
      <c r="AC179" s="20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Q180" s="66"/>
      <c r="R180" s="66"/>
      <c r="S180" s="66"/>
      <c r="T180" s="19"/>
      <c r="U180" s="19"/>
      <c r="V180" s="19"/>
      <c r="W180" s="19"/>
      <c r="X180" s="19"/>
      <c r="Y180" s="19"/>
      <c r="AA180" s="60"/>
      <c r="AB180" s="60"/>
      <c r="AC180" s="20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Q181" s="66"/>
      <c r="R181" s="66"/>
      <c r="S181" s="66"/>
      <c r="T181" s="19"/>
      <c r="U181" s="19"/>
      <c r="V181" s="19"/>
      <c r="W181" s="19"/>
      <c r="X181" s="19"/>
      <c r="Y181" s="19"/>
      <c r="AA181" s="60"/>
      <c r="AB181" s="60"/>
      <c r="AC181" s="20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Q182" s="66"/>
      <c r="R182" s="66"/>
      <c r="S182" s="66"/>
      <c r="T182" s="19"/>
      <c r="U182" s="19"/>
      <c r="V182" s="19"/>
      <c r="W182" s="19"/>
      <c r="X182" s="19"/>
      <c r="Y182" s="19"/>
      <c r="AA182" s="60"/>
      <c r="AB182" s="60"/>
      <c r="AC182" s="20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Q183" s="66"/>
      <c r="R183" s="66"/>
      <c r="S183" s="66"/>
      <c r="T183" s="19"/>
      <c r="U183" s="19"/>
      <c r="V183" s="19"/>
      <c r="W183" s="19"/>
      <c r="X183" s="19"/>
      <c r="Y183" s="19"/>
      <c r="AA183" s="60"/>
      <c r="AB183" s="60"/>
      <c r="AC183" s="20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Q184" s="66"/>
      <c r="R184" s="66"/>
      <c r="S184" s="66"/>
      <c r="T184" s="19"/>
      <c r="U184" s="19"/>
      <c r="V184" s="19"/>
      <c r="W184" s="19"/>
      <c r="X184" s="19"/>
      <c r="Y184" s="19"/>
      <c r="AA184" s="60"/>
      <c r="AB184" s="60"/>
      <c r="AC184" s="20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Q185" s="66"/>
      <c r="R185" s="66"/>
      <c r="S185" s="66"/>
      <c r="T185" s="19"/>
      <c r="U185" s="19"/>
      <c r="V185" s="19"/>
      <c r="W185" s="19"/>
      <c r="X185" s="19"/>
      <c r="Y185" s="19"/>
      <c r="AA185" s="60"/>
      <c r="AB185" s="60"/>
      <c r="AC185" s="20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Q186" s="66"/>
      <c r="R186" s="66"/>
      <c r="S186" s="66"/>
      <c r="T186" s="19"/>
      <c r="U186" s="19"/>
      <c r="V186" s="19"/>
      <c r="W186" s="19"/>
      <c r="X186" s="19"/>
      <c r="Y186" s="19"/>
      <c r="AA186" s="60"/>
      <c r="AB186" s="60"/>
      <c r="AC186" s="20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Q187" s="66"/>
      <c r="R187" s="66"/>
      <c r="S187" s="66"/>
      <c r="T187" s="19"/>
      <c r="U187" s="19"/>
      <c r="V187" s="19"/>
      <c r="W187" s="19"/>
      <c r="X187" s="19"/>
      <c r="Y187" s="19"/>
      <c r="AA187" s="60"/>
      <c r="AB187" s="60"/>
      <c r="AC187" s="20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Q188" s="66"/>
      <c r="R188" s="66"/>
      <c r="S188" s="66"/>
      <c r="T188" s="19"/>
      <c r="U188" s="19"/>
      <c r="V188" s="19"/>
      <c r="W188" s="19"/>
      <c r="X188" s="19"/>
      <c r="Y188" s="19"/>
      <c r="AA188" s="60"/>
      <c r="AB188" s="60"/>
      <c r="AC188" s="20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Q189" s="66"/>
      <c r="R189" s="66"/>
      <c r="S189" s="66"/>
      <c r="T189" s="19"/>
      <c r="U189" s="19"/>
      <c r="V189" s="19"/>
      <c r="W189" s="19"/>
      <c r="X189" s="19"/>
      <c r="Y189" s="19"/>
      <c r="AA189" s="60"/>
      <c r="AB189" s="60"/>
      <c r="AC189" s="20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Q190" s="66"/>
      <c r="R190" s="66"/>
      <c r="S190" s="66"/>
      <c r="T190" s="19"/>
      <c r="U190" s="19"/>
      <c r="V190" s="19"/>
      <c r="W190" s="19"/>
      <c r="X190" s="19"/>
      <c r="Y190" s="19"/>
      <c r="AA190" s="60"/>
      <c r="AB190" s="60"/>
      <c r="AC190" s="20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Q191" s="66"/>
      <c r="R191" s="66"/>
      <c r="S191" s="66"/>
      <c r="T191" s="19"/>
      <c r="U191" s="19"/>
      <c r="V191" s="19"/>
      <c r="W191" s="19"/>
      <c r="X191" s="19"/>
      <c r="Y191" s="19"/>
      <c r="AA191" s="60"/>
      <c r="AB191" s="60"/>
      <c r="AC191" s="20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Q192" s="66"/>
      <c r="R192" s="66"/>
      <c r="S192" s="66"/>
      <c r="T192" s="19"/>
      <c r="U192" s="19"/>
      <c r="V192" s="19"/>
      <c r="W192" s="19"/>
      <c r="X192" s="19"/>
      <c r="Y192" s="19"/>
      <c r="AA192" s="60"/>
      <c r="AB192" s="60"/>
      <c r="AC192" s="20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Q193" s="66"/>
      <c r="R193" s="66"/>
      <c r="S193" s="66"/>
      <c r="T193" s="19"/>
      <c r="U193" s="19"/>
      <c r="V193" s="19"/>
      <c r="W193" s="19"/>
      <c r="X193" s="19"/>
      <c r="Y193" s="19"/>
      <c r="AA193" s="60"/>
      <c r="AB193" s="60"/>
      <c r="AC193" s="20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Q194" s="66"/>
      <c r="R194" s="66"/>
      <c r="S194" s="66"/>
      <c r="T194" s="19"/>
      <c r="U194" s="19"/>
      <c r="V194" s="19"/>
      <c r="W194" s="19"/>
      <c r="X194" s="19"/>
      <c r="Y194" s="19"/>
      <c r="AA194" s="60"/>
      <c r="AB194" s="60"/>
      <c r="AC194" s="20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Q195" s="66"/>
      <c r="R195" s="66"/>
      <c r="S195" s="66"/>
      <c r="T195" s="19"/>
      <c r="U195" s="19"/>
      <c r="V195" s="19"/>
      <c r="W195" s="19"/>
      <c r="X195" s="19"/>
      <c r="Y195" s="19"/>
      <c r="AA195" s="60"/>
      <c r="AB195" s="60"/>
      <c r="AC195" s="20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Q196" s="66"/>
      <c r="R196" s="66"/>
      <c r="S196" s="66"/>
      <c r="T196" s="19"/>
      <c r="U196" s="19"/>
      <c r="V196" s="19"/>
      <c r="W196" s="19"/>
      <c r="X196" s="19"/>
      <c r="Y196" s="19"/>
      <c r="AA196" s="60"/>
      <c r="AB196" s="60"/>
      <c r="AC196" s="20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Q197" s="66"/>
      <c r="R197" s="66"/>
      <c r="S197" s="66"/>
      <c r="T197" s="19"/>
      <c r="U197" s="19"/>
      <c r="V197" s="19"/>
      <c r="W197" s="19"/>
      <c r="X197" s="19"/>
      <c r="Y197" s="19"/>
      <c r="AA197" s="60"/>
      <c r="AB197" s="60"/>
      <c r="AC197" s="20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Q198" s="66"/>
      <c r="R198" s="66"/>
      <c r="S198" s="66"/>
      <c r="T198" s="19"/>
      <c r="U198" s="19"/>
      <c r="V198" s="19"/>
      <c r="W198" s="19"/>
      <c r="X198" s="19"/>
      <c r="Y198" s="19"/>
      <c r="AA198" s="60"/>
      <c r="AB198" s="60"/>
      <c r="AC198" s="20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Q199" s="66"/>
      <c r="R199" s="66"/>
      <c r="S199" s="66"/>
      <c r="T199" s="19"/>
      <c r="U199" s="19"/>
      <c r="V199" s="19"/>
      <c r="W199" s="19"/>
      <c r="X199" s="19"/>
      <c r="Y199" s="19"/>
      <c r="AA199" s="60"/>
      <c r="AB199" s="60"/>
      <c r="AC199" s="20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Q200" s="66"/>
      <c r="R200" s="66"/>
      <c r="S200" s="66"/>
      <c r="T200" s="19"/>
      <c r="U200" s="19"/>
      <c r="V200" s="19"/>
      <c r="W200" s="19"/>
      <c r="X200" s="19"/>
      <c r="Y200" s="19"/>
      <c r="AA200" s="60"/>
      <c r="AB200" s="60"/>
      <c r="AC200" s="20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Q201" s="66"/>
      <c r="R201" s="66"/>
      <c r="S201" s="66"/>
      <c r="T201" s="19"/>
      <c r="U201" s="19"/>
      <c r="V201" s="19"/>
      <c r="W201" s="19"/>
      <c r="X201" s="19"/>
      <c r="Y201" s="19"/>
      <c r="AA201" s="60"/>
      <c r="AB201" s="60"/>
      <c r="AC201" s="20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Q202" s="66"/>
      <c r="R202" s="66"/>
      <c r="S202" s="66"/>
      <c r="T202" s="19"/>
      <c r="U202" s="19"/>
      <c r="V202" s="19"/>
      <c r="W202" s="19"/>
      <c r="X202" s="19"/>
      <c r="Y202" s="19"/>
      <c r="AA202" s="60"/>
      <c r="AB202" s="60"/>
      <c r="AC202" s="20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Q203" s="66"/>
      <c r="R203" s="66"/>
      <c r="S203" s="66"/>
      <c r="T203" s="19"/>
      <c r="U203" s="19"/>
      <c r="V203" s="19"/>
      <c r="W203" s="19"/>
      <c r="X203" s="19"/>
      <c r="Y203" s="19"/>
      <c r="AA203" s="60"/>
      <c r="AB203" s="60"/>
      <c r="AC203" s="20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Q204" s="66"/>
      <c r="R204" s="66"/>
      <c r="S204" s="66"/>
      <c r="T204" s="19"/>
      <c r="U204" s="19"/>
      <c r="V204" s="19"/>
      <c r="W204" s="19"/>
      <c r="X204" s="19"/>
      <c r="Y204" s="19"/>
      <c r="AA204" s="60"/>
      <c r="AB204" s="60"/>
      <c r="AC204" s="20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Q205" s="66"/>
      <c r="R205" s="66"/>
      <c r="S205" s="66"/>
      <c r="T205" s="19"/>
      <c r="U205" s="19"/>
      <c r="V205" s="19"/>
      <c r="W205" s="19"/>
      <c r="X205" s="19"/>
      <c r="Y205" s="19"/>
      <c r="AA205" s="60"/>
      <c r="AB205" s="60"/>
      <c r="AC205" s="20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Q206" s="66"/>
      <c r="R206" s="66"/>
      <c r="S206" s="66"/>
      <c r="T206" s="19"/>
      <c r="U206" s="19"/>
      <c r="V206" s="19"/>
      <c r="W206" s="19"/>
      <c r="X206" s="19"/>
      <c r="Y206" s="19"/>
      <c r="AA206" s="60"/>
      <c r="AB206" s="60"/>
      <c r="AC206" s="20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Q207" s="66"/>
      <c r="R207" s="66"/>
      <c r="S207" s="66"/>
      <c r="T207" s="19"/>
      <c r="U207" s="19"/>
      <c r="V207" s="19"/>
      <c r="W207" s="19"/>
      <c r="X207" s="19"/>
      <c r="Y207" s="19"/>
      <c r="AA207" s="60"/>
      <c r="AB207" s="60"/>
      <c r="AC207" s="20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Q208" s="66"/>
      <c r="R208" s="66"/>
      <c r="S208" s="66"/>
      <c r="T208" s="19"/>
      <c r="U208" s="19"/>
      <c r="V208" s="19"/>
      <c r="W208" s="19"/>
      <c r="X208" s="19"/>
      <c r="Y208" s="19"/>
      <c r="AA208" s="60"/>
      <c r="AB208" s="60"/>
      <c r="AC208" s="20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Q209" s="66"/>
      <c r="R209" s="66"/>
      <c r="S209" s="66"/>
      <c r="T209" s="19"/>
      <c r="U209" s="19"/>
      <c r="V209" s="19"/>
      <c r="W209" s="19"/>
      <c r="X209" s="19"/>
      <c r="Y209" s="19"/>
      <c r="AA209" s="60"/>
      <c r="AB209" s="60"/>
      <c r="AC209" s="20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Q210" s="66"/>
      <c r="R210" s="66"/>
      <c r="S210" s="66"/>
      <c r="T210" s="19"/>
      <c r="U210" s="19"/>
      <c r="V210" s="19"/>
      <c r="W210" s="19"/>
      <c r="X210" s="19"/>
      <c r="Y210" s="19"/>
      <c r="AA210" s="60"/>
      <c r="AB210" s="60"/>
      <c r="AC210" s="20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Q211" s="66"/>
      <c r="R211" s="66"/>
      <c r="S211" s="66"/>
      <c r="T211" s="19"/>
      <c r="U211" s="19"/>
      <c r="V211" s="19"/>
      <c r="W211" s="19"/>
      <c r="X211" s="19"/>
      <c r="Y211" s="19"/>
      <c r="AA211" s="60"/>
      <c r="AB211" s="60"/>
      <c r="AC211" s="20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Q212" s="66"/>
      <c r="R212" s="66"/>
      <c r="S212" s="66"/>
      <c r="T212" s="19"/>
      <c r="U212" s="19"/>
      <c r="V212" s="19"/>
      <c r="W212" s="19"/>
      <c r="X212" s="19"/>
      <c r="Y212" s="19"/>
      <c r="AA212" s="60"/>
      <c r="AB212" s="60"/>
      <c r="AC212" s="20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Q213" s="66"/>
      <c r="R213" s="66"/>
      <c r="S213" s="66"/>
      <c r="T213" s="19"/>
      <c r="U213" s="19"/>
      <c r="V213" s="19"/>
      <c r="W213" s="19"/>
      <c r="X213" s="19"/>
      <c r="Y213" s="19"/>
      <c r="AA213" s="60"/>
      <c r="AB213" s="60"/>
      <c r="AC213" s="20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Q214" s="66"/>
      <c r="R214" s="66"/>
      <c r="S214" s="66"/>
      <c r="T214" s="19"/>
      <c r="U214" s="19"/>
      <c r="V214" s="19"/>
      <c r="W214" s="19"/>
      <c r="X214" s="19"/>
      <c r="Y214" s="19"/>
      <c r="AA214" s="60"/>
      <c r="AB214" s="60"/>
      <c r="AC214" s="20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Q215" s="66"/>
      <c r="R215" s="66"/>
      <c r="S215" s="66"/>
      <c r="T215" s="19"/>
      <c r="U215" s="19"/>
      <c r="V215" s="19"/>
      <c r="W215" s="19"/>
      <c r="X215" s="19"/>
      <c r="Y215" s="19"/>
      <c r="AA215" s="60"/>
      <c r="AB215" s="60"/>
      <c r="AC215" s="20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Q216" s="66"/>
      <c r="R216" s="66"/>
      <c r="S216" s="66"/>
      <c r="T216" s="19"/>
      <c r="U216" s="19"/>
      <c r="V216" s="19"/>
      <c r="W216" s="19"/>
      <c r="X216" s="19"/>
      <c r="Y216" s="19"/>
      <c r="AA216" s="60"/>
      <c r="AB216" s="60"/>
      <c r="AC216" s="20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Q217" s="66"/>
      <c r="R217" s="66"/>
      <c r="S217" s="66"/>
      <c r="T217" s="19"/>
      <c r="U217" s="19"/>
      <c r="V217" s="19"/>
      <c r="W217" s="19"/>
      <c r="X217" s="19"/>
      <c r="Y217" s="19"/>
      <c r="AA217" s="60"/>
      <c r="AB217" s="60"/>
      <c r="AC217" s="20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Q218" s="66"/>
      <c r="R218" s="66"/>
      <c r="S218" s="66"/>
      <c r="T218" s="19"/>
      <c r="U218" s="19"/>
      <c r="V218" s="19"/>
      <c r="W218" s="19"/>
      <c r="X218" s="19"/>
      <c r="Y218" s="19"/>
      <c r="AA218" s="60"/>
      <c r="AB218" s="60"/>
      <c r="AC218" s="20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Q219" s="66"/>
      <c r="R219" s="66"/>
      <c r="S219" s="66"/>
      <c r="T219" s="19"/>
      <c r="U219" s="19"/>
      <c r="V219" s="19"/>
      <c r="W219" s="19"/>
      <c r="X219" s="19"/>
      <c r="Y219" s="19"/>
      <c r="AA219" s="60"/>
      <c r="AB219" s="60"/>
      <c r="AC219" s="20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Q220" s="66"/>
      <c r="R220" s="66"/>
      <c r="S220" s="66"/>
      <c r="T220" s="19"/>
      <c r="U220" s="19"/>
      <c r="V220" s="19"/>
      <c r="W220" s="19"/>
      <c r="X220" s="19"/>
      <c r="Y220" s="19"/>
      <c r="AA220" s="60"/>
      <c r="AB220" s="60"/>
      <c r="AC220" s="20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T221" s="19"/>
      <c r="U221" s="19"/>
      <c r="V221" s="19"/>
      <c r="W221" s="19"/>
      <c r="X221" s="19"/>
      <c r="Y221" s="19"/>
      <c r="AA221" s="20"/>
      <c r="AB221" s="20"/>
      <c r="AC221" s="20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T222" s="19"/>
      <c r="U222" s="19"/>
      <c r="V222" s="19"/>
      <c r="W222" s="19"/>
      <c r="X222" s="19"/>
      <c r="Y222" s="19"/>
      <c r="AA222" s="20"/>
      <c r="AB222" s="20"/>
      <c r="AC222" s="20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T223" s="19"/>
      <c r="U223" s="19"/>
      <c r="V223" s="19"/>
      <c r="W223" s="19"/>
      <c r="X223" s="19"/>
      <c r="Y223" s="19"/>
      <c r="AA223" s="20"/>
      <c r="AB223" s="20"/>
      <c r="AC223" s="20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T224" s="19"/>
      <c r="U224" s="19"/>
      <c r="V224" s="19"/>
      <c r="W224" s="19"/>
      <c r="X224" s="19"/>
      <c r="Y224" s="19"/>
      <c r="AA224" s="20"/>
      <c r="AB224" s="20"/>
      <c r="AC224" s="20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T225" s="19"/>
      <c r="U225" s="19"/>
      <c r="V225" s="19"/>
      <c r="W225" s="19"/>
      <c r="X225" s="19"/>
      <c r="Y225" s="19"/>
      <c r="AA225" s="20"/>
      <c r="AB225" s="20"/>
      <c r="AC225" s="20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T226" s="19"/>
      <c r="U226" s="19"/>
      <c r="V226" s="19"/>
      <c r="W226" s="19"/>
      <c r="X226" s="19"/>
      <c r="Y226" s="19"/>
      <c r="AA226" s="20"/>
      <c r="AB226" s="20"/>
      <c r="AC226" s="20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T227" s="19"/>
      <c r="U227" s="19"/>
      <c r="V227" s="19"/>
      <c r="W227" s="19"/>
      <c r="X227" s="19"/>
      <c r="Y227" s="19"/>
      <c r="AA227" s="20"/>
      <c r="AB227" s="20"/>
      <c r="AC227" s="20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T228" s="19"/>
      <c r="U228" s="19"/>
      <c r="V228" s="19"/>
      <c r="W228" s="19"/>
      <c r="X228" s="19"/>
      <c r="Y228" s="19"/>
      <c r="AA228" s="20"/>
      <c r="AB228" s="20"/>
      <c r="AC228" s="20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T229" s="19"/>
      <c r="U229" s="19"/>
      <c r="V229" s="19"/>
      <c r="W229" s="19"/>
      <c r="X229" s="19"/>
      <c r="Y229" s="19"/>
      <c r="AA229" s="20"/>
      <c r="AB229" s="20"/>
      <c r="AC229" s="20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T230" s="19"/>
      <c r="U230" s="19"/>
      <c r="V230" s="19"/>
      <c r="W230" s="19"/>
      <c r="X230" s="19"/>
      <c r="Y230" s="19"/>
      <c r="AA230" s="20"/>
      <c r="AB230" s="20"/>
      <c r="AC230" s="20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T231" s="19"/>
      <c r="U231" s="19"/>
      <c r="V231" s="19"/>
      <c r="W231" s="19"/>
      <c r="X231" s="19"/>
      <c r="Y231" s="19"/>
      <c r="AA231" s="20"/>
      <c r="AB231" s="20"/>
      <c r="AC231" s="20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T232" s="19"/>
      <c r="U232" s="19"/>
      <c r="V232" s="19"/>
      <c r="W232" s="19"/>
      <c r="X232" s="19"/>
      <c r="Y232" s="19"/>
      <c r="AA232" s="20"/>
      <c r="AB232" s="20"/>
      <c r="AC232" s="20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T233" s="19"/>
      <c r="U233" s="19"/>
      <c r="V233" s="19"/>
      <c r="W233" s="19"/>
      <c r="X233" s="19"/>
      <c r="Y233" s="19"/>
      <c r="AA233" s="20"/>
      <c r="AB233" s="20"/>
      <c r="AC233" s="20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T234" s="19"/>
      <c r="U234" s="19"/>
      <c r="V234" s="19"/>
      <c r="W234" s="19"/>
      <c r="X234" s="19"/>
      <c r="Y234" s="19"/>
      <c r="AA234" s="20"/>
      <c r="AB234" s="20"/>
      <c r="AC234" s="20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T235" s="19"/>
      <c r="U235" s="19"/>
      <c r="V235" s="19"/>
      <c r="W235" s="19"/>
      <c r="X235" s="19"/>
      <c r="Y235" s="19"/>
      <c r="AA235" s="20"/>
      <c r="AB235" s="20"/>
      <c r="AC235" s="20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T236" s="19"/>
      <c r="U236" s="19"/>
      <c r="V236" s="19"/>
      <c r="W236" s="19"/>
      <c r="X236" s="19"/>
      <c r="Y236" s="19"/>
      <c r="AA236" s="20"/>
      <c r="AB236" s="20"/>
      <c r="AC236" s="20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T237" s="19"/>
      <c r="U237" s="19"/>
      <c r="V237" s="19"/>
      <c r="W237" s="19"/>
      <c r="X237" s="19"/>
      <c r="Y237" s="19"/>
      <c r="AA237" s="20"/>
      <c r="AB237" s="20"/>
      <c r="AC237" s="20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T238" s="19"/>
      <c r="U238" s="19"/>
      <c r="V238" s="19"/>
      <c r="W238" s="19"/>
      <c r="X238" s="19"/>
      <c r="Y238" s="19"/>
      <c r="AA238" s="20"/>
      <c r="AB238" s="20"/>
      <c r="AC238" s="20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T239" s="19"/>
      <c r="U239" s="19"/>
      <c r="V239" s="19"/>
      <c r="W239" s="19"/>
      <c r="X239" s="19"/>
      <c r="Y239" s="19"/>
      <c r="AA239" s="20"/>
      <c r="AB239" s="20"/>
      <c r="AC239" s="20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T240" s="19"/>
      <c r="U240" s="19"/>
      <c r="V240" s="19"/>
      <c r="W240" s="19"/>
      <c r="X240" s="19"/>
      <c r="Y240" s="19"/>
      <c r="AA240" s="20"/>
      <c r="AB240" s="20"/>
      <c r="AC240" s="20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T241" s="19"/>
      <c r="U241" s="19"/>
      <c r="V241" s="19"/>
      <c r="W241" s="19"/>
      <c r="X241" s="19"/>
      <c r="Y241" s="19"/>
      <c r="AA241" s="20"/>
      <c r="AB241" s="20"/>
      <c r="AC241" s="20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T242" s="19"/>
      <c r="U242" s="19"/>
      <c r="V242" s="19"/>
      <c r="W242" s="19"/>
      <c r="X242" s="19"/>
      <c r="Y242" s="19"/>
      <c r="AA242" s="20"/>
      <c r="AB242" s="20"/>
      <c r="AC242" s="20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T243" s="19"/>
      <c r="U243" s="19"/>
      <c r="V243" s="19"/>
      <c r="W243" s="19"/>
      <c r="X243" s="19"/>
      <c r="Y243" s="19"/>
      <c r="AA243" s="20"/>
      <c r="AB243" s="20"/>
      <c r="AC243" s="20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T244" s="19"/>
      <c r="U244" s="19"/>
      <c r="V244" s="19"/>
      <c r="W244" s="19"/>
      <c r="X244" s="19"/>
      <c r="Y244" s="19"/>
      <c r="AA244" s="20"/>
      <c r="AB244" s="20"/>
      <c r="AC244" s="20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T245" s="19"/>
      <c r="U245" s="19"/>
      <c r="V245" s="19"/>
      <c r="W245" s="19"/>
      <c r="X245" s="19"/>
      <c r="Y245" s="19"/>
      <c r="AA245" s="20"/>
      <c r="AB245" s="20"/>
      <c r="AC245" s="20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T246" s="19"/>
      <c r="U246" s="19"/>
      <c r="V246" s="19"/>
      <c r="W246" s="19"/>
      <c r="X246" s="19"/>
      <c r="Y246" s="19"/>
      <c r="AA246" s="20"/>
      <c r="AB246" s="20"/>
      <c r="AC246" s="20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T247" s="19"/>
      <c r="U247" s="19"/>
      <c r="V247" s="19"/>
      <c r="W247" s="19"/>
      <c r="X247" s="19"/>
      <c r="Y247" s="19"/>
      <c r="AA247" s="20"/>
      <c r="AB247" s="20"/>
      <c r="AC247" s="20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T248" s="19"/>
      <c r="U248" s="19"/>
      <c r="V248" s="19"/>
      <c r="W248" s="19"/>
      <c r="X248" s="19"/>
      <c r="Y248" s="19"/>
      <c r="AA248" s="20"/>
      <c r="AB248" s="20"/>
      <c r="AC248" s="20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T249" s="19"/>
      <c r="U249" s="19"/>
      <c r="V249" s="19"/>
      <c r="W249" s="19"/>
      <c r="X249" s="19"/>
      <c r="Y249" s="19"/>
      <c r="AA249" s="20"/>
      <c r="AB249" s="20"/>
      <c r="AC249" s="20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T250" s="19"/>
      <c r="U250" s="19"/>
      <c r="V250" s="19"/>
      <c r="W250" s="19"/>
      <c r="X250" s="19"/>
      <c r="Y250" s="19"/>
      <c r="AA250" s="20"/>
      <c r="AB250" s="20"/>
      <c r="AC250" s="20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T251" s="19"/>
      <c r="U251" s="19"/>
      <c r="V251" s="19"/>
      <c r="W251" s="19"/>
      <c r="X251" s="19"/>
      <c r="Y251" s="19"/>
      <c r="AA251" s="20"/>
      <c r="AB251" s="20"/>
      <c r="AC251" s="20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T252" s="19"/>
      <c r="U252" s="19"/>
      <c r="V252" s="19"/>
      <c r="W252" s="19"/>
      <c r="X252" s="19"/>
      <c r="Y252" s="19"/>
      <c r="AA252" s="20"/>
      <c r="AB252" s="20"/>
      <c r="AC252" s="20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T253" s="19"/>
      <c r="U253" s="19"/>
      <c r="V253" s="19"/>
      <c r="W253" s="19"/>
      <c r="X253" s="19"/>
      <c r="Y253" s="19"/>
      <c r="AA253" s="20"/>
      <c r="AB253" s="20"/>
      <c r="AC253" s="20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T254" s="19"/>
      <c r="U254" s="19"/>
      <c r="V254" s="19"/>
      <c r="W254" s="19"/>
      <c r="X254" s="19"/>
      <c r="Y254" s="19"/>
      <c r="AA254" s="20"/>
      <c r="AB254" s="20"/>
      <c r="AC254" s="20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T255" s="19"/>
      <c r="U255" s="19"/>
      <c r="V255" s="19"/>
      <c r="W255" s="19"/>
      <c r="X255" s="19"/>
      <c r="Y255" s="19"/>
      <c r="AA255" s="20"/>
      <c r="AB255" s="20"/>
      <c r="AC255" s="20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T256" s="19"/>
      <c r="U256" s="19"/>
      <c r="V256" s="19"/>
      <c r="W256" s="19"/>
      <c r="X256" s="19"/>
      <c r="Y256" s="19"/>
      <c r="AA256" s="20"/>
      <c r="AB256" s="20"/>
      <c r="AC256" s="20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T257" s="19"/>
      <c r="U257" s="19"/>
      <c r="V257" s="19"/>
      <c r="W257" s="19"/>
      <c r="X257" s="19"/>
      <c r="Y257" s="19"/>
      <c r="AA257" s="20"/>
      <c r="AB257" s="20"/>
      <c r="AC257" s="20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T258" s="19"/>
      <c r="U258" s="19"/>
      <c r="V258" s="19"/>
      <c r="W258" s="19"/>
      <c r="X258" s="19"/>
      <c r="Y258" s="19"/>
      <c r="AA258" s="20"/>
      <c r="AB258" s="20"/>
      <c r="AC258" s="20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T259" s="19"/>
      <c r="U259" s="19"/>
      <c r="V259" s="19"/>
      <c r="W259" s="19"/>
      <c r="X259" s="19"/>
      <c r="Y259" s="19"/>
      <c r="AA259" s="20"/>
      <c r="AB259" s="20"/>
      <c r="AC259" s="20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T260" s="19"/>
      <c r="U260" s="19"/>
      <c r="V260" s="19"/>
      <c r="W260" s="19"/>
      <c r="X260" s="19"/>
      <c r="Y260" s="19"/>
      <c r="AA260" s="20"/>
      <c r="AB260" s="20"/>
      <c r="AC260" s="20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T261" s="19"/>
      <c r="U261" s="19"/>
      <c r="V261" s="19"/>
      <c r="W261" s="19"/>
      <c r="X261" s="19"/>
      <c r="Y261" s="19"/>
      <c r="AA261" s="20"/>
      <c r="AB261" s="20"/>
      <c r="AC261" s="20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T262" s="19"/>
      <c r="U262" s="19"/>
      <c r="V262" s="19"/>
      <c r="W262" s="19"/>
      <c r="X262" s="19"/>
      <c r="Y262" s="19"/>
      <c r="AA262" s="20"/>
      <c r="AB262" s="20"/>
      <c r="AC262" s="20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T263" s="19"/>
      <c r="U263" s="19"/>
      <c r="V263" s="19"/>
      <c r="W263" s="19"/>
      <c r="X263" s="19"/>
      <c r="Y263" s="19"/>
      <c r="AA263" s="20"/>
      <c r="AB263" s="20"/>
      <c r="AC263" s="20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T264" s="19"/>
      <c r="U264" s="19"/>
      <c r="V264" s="19"/>
      <c r="W264" s="19"/>
      <c r="X264" s="19"/>
      <c r="Y264" s="19"/>
      <c r="AA264" s="20"/>
      <c r="AB264" s="20"/>
      <c r="AC264" s="20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T265" s="19"/>
      <c r="U265" s="19"/>
      <c r="V265" s="19"/>
      <c r="W265" s="19"/>
      <c r="X265" s="19"/>
      <c r="Y265" s="19"/>
      <c r="AA265" s="20"/>
      <c r="AB265" s="20"/>
      <c r="AC265" s="20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T266" s="19"/>
      <c r="U266" s="19"/>
      <c r="V266" s="19"/>
      <c r="W266" s="19"/>
      <c r="X266" s="19"/>
      <c r="Y266" s="19"/>
      <c r="AA266" s="20"/>
      <c r="AB266" s="20"/>
      <c r="AC266" s="20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T267" s="19"/>
      <c r="U267" s="19"/>
      <c r="V267" s="19"/>
      <c r="W267" s="19"/>
      <c r="X267" s="19"/>
      <c r="Y267" s="19"/>
      <c r="AA267" s="20"/>
      <c r="AB267" s="20"/>
      <c r="AC267" s="20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T268" s="19"/>
      <c r="U268" s="19"/>
      <c r="V268" s="19"/>
      <c r="W268" s="19"/>
      <c r="X268" s="19"/>
      <c r="Y268" s="19"/>
      <c r="AA268" s="20"/>
      <c r="AB268" s="20"/>
      <c r="AC268" s="20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T269" s="19"/>
      <c r="U269" s="19"/>
      <c r="V269" s="19"/>
      <c r="W269" s="19"/>
      <c r="X269" s="19"/>
      <c r="Y269" s="19"/>
      <c r="AA269" s="20"/>
      <c r="AB269" s="20"/>
      <c r="AC269" s="20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T270" s="19"/>
      <c r="U270" s="19"/>
      <c r="V270" s="19"/>
      <c r="W270" s="19"/>
      <c r="X270" s="19"/>
      <c r="Y270" s="19"/>
      <c r="AA270" s="20"/>
      <c r="AB270" s="20"/>
      <c r="AC270" s="20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T271" s="19"/>
      <c r="U271" s="19"/>
      <c r="V271" s="19"/>
      <c r="W271" s="19"/>
      <c r="X271" s="19"/>
      <c r="Y271" s="19"/>
      <c r="AA271" s="20"/>
      <c r="AB271" s="20"/>
      <c r="AC271" s="20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T272" s="19"/>
      <c r="U272" s="19"/>
      <c r="V272" s="19"/>
      <c r="W272" s="19"/>
      <c r="X272" s="19"/>
      <c r="Y272" s="19"/>
      <c r="AA272" s="20"/>
      <c r="AB272" s="20"/>
      <c r="AC272" s="20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T273" s="19"/>
      <c r="U273" s="19"/>
      <c r="V273" s="19"/>
      <c r="W273" s="19"/>
      <c r="X273" s="19"/>
      <c r="Y273" s="19"/>
      <c r="AA273" s="20"/>
      <c r="AB273" s="20"/>
      <c r="AC273" s="20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T274" s="19"/>
      <c r="U274" s="19"/>
      <c r="V274" s="19"/>
      <c r="W274" s="19"/>
      <c r="X274" s="19"/>
      <c r="Y274" s="19"/>
      <c r="AA274" s="20"/>
      <c r="AB274" s="20"/>
      <c r="AC274" s="20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T275" s="19"/>
      <c r="U275" s="19"/>
      <c r="V275" s="19"/>
      <c r="W275" s="19"/>
      <c r="X275" s="19"/>
      <c r="Y275" s="19"/>
      <c r="AA275" s="20"/>
      <c r="AB275" s="20"/>
      <c r="AC275" s="20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T276" s="19"/>
      <c r="U276" s="19"/>
      <c r="V276" s="19"/>
      <c r="W276" s="19"/>
      <c r="X276" s="19"/>
      <c r="Y276" s="19"/>
      <c r="AA276" s="20"/>
      <c r="AB276" s="20"/>
      <c r="AC276" s="20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T277" s="19"/>
      <c r="U277" s="19"/>
      <c r="V277" s="19"/>
      <c r="W277" s="19"/>
      <c r="X277" s="19"/>
      <c r="Y277" s="19"/>
      <c r="AA277" s="20"/>
      <c r="AB277" s="20"/>
      <c r="AC277" s="20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T278" s="19"/>
      <c r="U278" s="19"/>
      <c r="V278" s="19"/>
      <c r="W278" s="19"/>
      <c r="X278" s="19"/>
      <c r="Y278" s="19"/>
      <c r="AA278" s="20"/>
      <c r="AB278" s="20"/>
      <c r="AC278" s="20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T279" s="19"/>
      <c r="U279" s="19"/>
      <c r="V279" s="19"/>
      <c r="W279" s="19"/>
      <c r="X279" s="19"/>
      <c r="Y279" s="19"/>
      <c r="AA279" s="20"/>
      <c r="AB279" s="20"/>
      <c r="AC279" s="20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T280" s="19"/>
      <c r="U280" s="19"/>
      <c r="V280" s="19"/>
      <c r="W280" s="19"/>
      <c r="X280" s="19"/>
      <c r="Y280" s="19"/>
      <c r="AA280" s="20"/>
      <c r="AB280" s="20"/>
      <c r="AC280" s="20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</row>
  </sheetData>
  <conditionalFormatting sqref="A1:C1 Q1:Q169 R1:W280 X1:Y1 A3:C3 X3:Y280 Z3:AA3 AB3:AG280 A33:N33 A35:N35 A37:N37 A81">
    <cfRule type="containsText" dxfId="0" priority="1" operator="containsText" text="Match found">
      <formula>NOT(ISERROR(SEARCH(("Match found"),(A1))))</formula>
    </cfRule>
  </conditionalFormatting>
  <hyperlinks>
    <hyperlink display="Input positions for SASA MDs" location="SASA_MD!A1" ref="A68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51</v>
      </c>
    </row>
    <row r="2">
      <c r="A2" s="72" t="s">
        <v>52</v>
      </c>
    </row>
    <row r="3">
      <c r="A3" s="73" t="s">
        <v>53</v>
      </c>
    </row>
    <row r="4">
      <c r="A4" s="74" t="s">
        <v>54</v>
      </c>
      <c r="B4" s="75" t="s">
        <v>30</v>
      </c>
      <c r="C4" s="76"/>
      <c r="D4" s="75" t="s">
        <v>31</v>
      </c>
      <c r="E4" s="76"/>
      <c r="F4" s="75" t="s">
        <v>32</v>
      </c>
      <c r="G4" s="76"/>
      <c r="H4" s="75" t="s">
        <v>33</v>
      </c>
      <c r="I4" s="76"/>
      <c r="J4" s="75" t="s">
        <v>34</v>
      </c>
      <c r="K4" s="76"/>
      <c r="L4" s="75" t="s">
        <v>35</v>
      </c>
      <c r="M4" s="76"/>
    </row>
    <row r="5">
      <c r="A5" s="77"/>
      <c r="B5" s="78" t="s">
        <v>55</v>
      </c>
      <c r="C5" s="79" t="s">
        <v>0</v>
      </c>
      <c r="D5" s="78" t="s">
        <v>55</v>
      </c>
      <c r="E5" s="79" t="s">
        <v>0</v>
      </c>
      <c r="F5" s="78" t="s">
        <v>55</v>
      </c>
      <c r="G5" s="79" t="s">
        <v>0</v>
      </c>
      <c r="H5" s="78" t="s">
        <v>55</v>
      </c>
      <c r="I5" s="79" t="s">
        <v>0</v>
      </c>
      <c r="J5" s="78" t="s">
        <v>55</v>
      </c>
      <c r="K5" s="79" t="s">
        <v>0</v>
      </c>
      <c r="L5" s="78" t="s">
        <v>55</v>
      </c>
      <c r="M5" s="79" t="s">
        <v>0</v>
      </c>
    </row>
    <row r="6">
      <c r="A6" s="80">
        <v>1.0</v>
      </c>
      <c r="B6" s="81" t="s">
        <v>33</v>
      </c>
      <c r="C6" s="82" t="s">
        <v>14</v>
      </c>
      <c r="D6" s="83" t="s">
        <v>44</v>
      </c>
      <c r="E6" s="84" t="s">
        <v>44</v>
      </c>
      <c r="F6" s="83" t="s">
        <v>44</v>
      </c>
      <c r="G6" s="84" t="s">
        <v>44</v>
      </c>
      <c r="H6" s="85" t="s">
        <v>30</v>
      </c>
      <c r="I6" s="86" t="s">
        <v>4</v>
      </c>
      <c r="J6" s="83" t="s">
        <v>44</v>
      </c>
      <c r="K6" s="84" t="s">
        <v>44</v>
      </c>
      <c r="L6" s="87" t="s">
        <v>30</v>
      </c>
      <c r="M6" s="82" t="s">
        <v>11</v>
      </c>
    </row>
    <row r="7">
      <c r="A7" s="80">
        <v>2.0</v>
      </c>
      <c r="B7" s="85" t="s">
        <v>33</v>
      </c>
      <c r="C7" s="86" t="s">
        <v>14</v>
      </c>
      <c r="D7" s="83" t="s">
        <v>44</v>
      </c>
      <c r="E7" s="84" t="s">
        <v>44</v>
      </c>
      <c r="F7" s="83" t="s">
        <v>44</v>
      </c>
      <c r="G7" s="84" t="s">
        <v>44</v>
      </c>
      <c r="H7" s="85" t="s">
        <v>44</v>
      </c>
      <c r="I7" s="86" t="s">
        <v>44</v>
      </c>
      <c r="J7" s="83" t="s">
        <v>44</v>
      </c>
      <c r="K7" s="84" t="s">
        <v>44</v>
      </c>
      <c r="L7" s="88" t="s">
        <v>30</v>
      </c>
      <c r="M7" s="86" t="s">
        <v>6</v>
      </c>
    </row>
    <row r="8">
      <c r="A8" s="80">
        <v>3.0</v>
      </c>
      <c r="B8" s="85" t="s">
        <v>33</v>
      </c>
      <c r="C8" s="86" t="s">
        <v>8</v>
      </c>
      <c r="D8" s="83" t="s">
        <v>44</v>
      </c>
      <c r="E8" s="84" t="s">
        <v>44</v>
      </c>
      <c r="F8" s="83" t="s">
        <v>44</v>
      </c>
      <c r="G8" s="84" t="s">
        <v>44</v>
      </c>
      <c r="H8" s="85" t="s">
        <v>30</v>
      </c>
      <c r="I8" s="86" t="s">
        <v>15</v>
      </c>
      <c r="J8" s="83" t="s">
        <v>44</v>
      </c>
      <c r="K8" s="84" t="s">
        <v>44</v>
      </c>
      <c r="L8" s="83" t="s">
        <v>44</v>
      </c>
      <c r="M8" s="84" t="s">
        <v>44</v>
      </c>
    </row>
    <row r="9">
      <c r="A9" s="80">
        <v>4.0</v>
      </c>
      <c r="B9" s="85" t="s">
        <v>33</v>
      </c>
      <c r="C9" s="86" t="s">
        <v>4</v>
      </c>
      <c r="D9" s="83" t="s">
        <v>44</v>
      </c>
      <c r="E9" s="84" t="s">
        <v>44</v>
      </c>
      <c r="F9" s="83" t="s">
        <v>44</v>
      </c>
      <c r="G9" s="84" t="s">
        <v>44</v>
      </c>
      <c r="H9" s="85" t="s">
        <v>44</v>
      </c>
      <c r="I9" s="86" t="s">
        <v>44</v>
      </c>
      <c r="J9" s="83" t="s">
        <v>44</v>
      </c>
      <c r="K9" s="84" t="s">
        <v>44</v>
      </c>
      <c r="L9" s="88" t="s">
        <v>30</v>
      </c>
      <c r="M9" s="86" t="s">
        <v>6</v>
      </c>
    </row>
    <row r="10">
      <c r="A10" s="80">
        <v>5.0</v>
      </c>
      <c r="B10" s="85" t="s">
        <v>33</v>
      </c>
      <c r="C10" s="86" t="s">
        <v>9</v>
      </c>
      <c r="D10" s="83" t="s">
        <v>44</v>
      </c>
      <c r="E10" s="84" t="s">
        <v>44</v>
      </c>
      <c r="F10" s="83" t="s">
        <v>44</v>
      </c>
      <c r="G10" s="84" t="s">
        <v>44</v>
      </c>
      <c r="H10" s="85" t="s">
        <v>30</v>
      </c>
      <c r="I10" s="86" t="s">
        <v>56</v>
      </c>
      <c r="J10" s="83" t="s">
        <v>44</v>
      </c>
      <c r="K10" s="84" t="s">
        <v>44</v>
      </c>
      <c r="L10" s="83" t="s">
        <v>44</v>
      </c>
      <c r="M10" s="84" t="s">
        <v>44</v>
      </c>
    </row>
    <row r="11">
      <c r="A11" s="80">
        <v>6.0</v>
      </c>
      <c r="B11" s="85" t="s">
        <v>33</v>
      </c>
      <c r="C11" s="86" t="s">
        <v>4</v>
      </c>
      <c r="D11" s="83" t="s">
        <v>44</v>
      </c>
      <c r="E11" s="84" t="s">
        <v>44</v>
      </c>
      <c r="F11" s="83" t="s">
        <v>44</v>
      </c>
      <c r="G11" s="84" t="s">
        <v>44</v>
      </c>
      <c r="H11" s="85" t="s">
        <v>30</v>
      </c>
      <c r="I11" s="86" t="s">
        <v>57</v>
      </c>
      <c r="J11" s="83" t="s">
        <v>44</v>
      </c>
      <c r="K11" s="84" t="s">
        <v>44</v>
      </c>
      <c r="L11" s="88" t="s">
        <v>30</v>
      </c>
      <c r="M11" s="86" t="s">
        <v>15</v>
      </c>
    </row>
    <row r="12">
      <c r="A12" s="80">
        <v>7.0</v>
      </c>
      <c r="B12" s="85" t="s">
        <v>33</v>
      </c>
      <c r="C12" s="86" t="s">
        <v>12</v>
      </c>
      <c r="D12" s="83" t="s">
        <v>44</v>
      </c>
      <c r="E12" s="84" t="s">
        <v>44</v>
      </c>
      <c r="F12" s="83" t="s">
        <v>44</v>
      </c>
      <c r="G12" s="84" t="s">
        <v>44</v>
      </c>
      <c r="H12" s="85" t="s">
        <v>30</v>
      </c>
      <c r="I12" s="86" t="s">
        <v>12</v>
      </c>
      <c r="J12" s="83" t="s">
        <v>44</v>
      </c>
      <c r="K12" s="84" t="s">
        <v>44</v>
      </c>
      <c r="L12" s="83" t="s">
        <v>44</v>
      </c>
      <c r="M12" s="84" t="s">
        <v>44</v>
      </c>
    </row>
    <row r="13">
      <c r="A13" s="80">
        <v>8.0</v>
      </c>
      <c r="B13" s="85" t="s">
        <v>33</v>
      </c>
      <c r="C13" s="86" t="s">
        <v>7</v>
      </c>
      <c r="D13" s="83" t="s">
        <v>44</v>
      </c>
      <c r="E13" s="84" t="s">
        <v>44</v>
      </c>
      <c r="F13" s="83" t="s">
        <v>44</v>
      </c>
      <c r="G13" s="84" t="s">
        <v>44</v>
      </c>
      <c r="H13" s="85" t="s">
        <v>44</v>
      </c>
      <c r="I13" s="86" t="s">
        <v>44</v>
      </c>
      <c r="J13" s="83" t="s">
        <v>44</v>
      </c>
      <c r="K13" s="84" t="s">
        <v>44</v>
      </c>
      <c r="L13" s="83" t="s">
        <v>44</v>
      </c>
      <c r="M13" s="84" t="s">
        <v>44</v>
      </c>
    </row>
    <row r="14">
      <c r="A14" s="80">
        <v>9.0</v>
      </c>
      <c r="B14" s="83" t="s">
        <v>44</v>
      </c>
      <c r="C14" s="84" t="s">
        <v>44</v>
      </c>
      <c r="D14" s="83" t="s">
        <v>44</v>
      </c>
      <c r="E14" s="84" t="s">
        <v>44</v>
      </c>
      <c r="F14" s="83" t="s">
        <v>44</v>
      </c>
      <c r="G14" s="84" t="s">
        <v>44</v>
      </c>
      <c r="H14" s="85" t="s">
        <v>30</v>
      </c>
      <c r="I14" s="86" t="s">
        <v>4</v>
      </c>
      <c r="J14" s="83" t="s">
        <v>44</v>
      </c>
      <c r="K14" s="84" t="s">
        <v>44</v>
      </c>
      <c r="L14" s="83" t="s">
        <v>44</v>
      </c>
      <c r="M14" s="84" t="s">
        <v>44</v>
      </c>
    </row>
    <row r="15">
      <c r="A15" s="80">
        <v>10.0</v>
      </c>
      <c r="B15" s="83" t="s">
        <v>44</v>
      </c>
      <c r="C15" s="84" t="s">
        <v>44</v>
      </c>
      <c r="D15" s="83" t="s">
        <v>44</v>
      </c>
      <c r="E15" s="84" t="s">
        <v>44</v>
      </c>
      <c r="F15" s="83" t="s">
        <v>44</v>
      </c>
      <c r="G15" s="84" t="s">
        <v>44</v>
      </c>
      <c r="H15" s="85" t="s">
        <v>30</v>
      </c>
      <c r="I15" s="86" t="s">
        <v>11</v>
      </c>
      <c r="J15" s="83" t="s">
        <v>44</v>
      </c>
      <c r="K15" s="84" t="s">
        <v>44</v>
      </c>
      <c r="L15" s="83" t="s">
        <v>44</v>
      </c>
      <c r="M15" s="84" t="s">
        <v>44</v>
      </c>
    </row>
    <row r="16">
      <c r="A16" s="89"/>
      <c r="B16" s="89"/>
      <c r="C16" s="89"/>
      <c r="D16" s="89"/>
      <c r="E16" s="89"/>
      <c r="F16" s="89"/>
      <c r="G16" s="89"/>
      <c r="H16" s="72"/>
      <c r="I16" s="72"/>
      <c r="J16" s="89"/>
      <c r="K16" s="89"/>
      <c r="L16" s="89"/>
      <c r="M16" s="89"/>
    </row>
    <row r="17">
      <c r="A17" s="89"/>
      <c r="B17" s="89"/>
      <c r="C17" s="89"/>
      <c r="D17" s="89"/>
      <c r="E17" s="89"/>
      <c r="F17" s="89"/>
      <c r="G17" s="89"/>
      <c r="H17" s="72"/>
      <c r="I17" s="72"/>
      <c r="J17" s="89"/>
      <c r="K17" s="89"/>
      <c r="L17" s="89"/>
      <c r="M17" s="89"/>
    </row>
    <row r="18">
      <c r="A18" s="74" t="s">
        <v>58</v>
      </c>
      <c r="B18" s="75" t="s">
        <v>30</v>
      </c>
      <c r="C18" s="76"/>
      <c r="D18" s="75" t="s">
        <v>31</v>
      </c>
      <c r="E18" s="76"/>
      <c r="F18" s="75" t="s">
        <v>32</v>
      </c>
      <c r="G18" s="76"/>
      <c r="H18" s="75" t="s">
        <v>33</v>
      </c>
      <c r="I18" s="76"/>
      <c r="J18" s="75" t="s">
        <v>34</v>
      </c>
      <c r="K18" s="76"/>
      <c r="L18" s="75" t="s">
        <v>35</v>
      </c>
      <c r="M18" s="76"/>
    </row>
    <row r="19">
      <c r="A19" s="77"/>
      <c r="B19" s="78" t="s">
        <v>55</v>
      </c>
      <c r="C19" s="79" t="s">
        <v>0</v>
      </c>
      <c r="D19" s="78" t="s">
        <v>55</v>
      </c>
      <c r="E19" s="79" t="s">
        <v>0</v>
      </c>
      <c r="F19" s="78" t="s">
        <v>55</v>
      </c>
      <c r="G19" s="79" t="s">
        <v>0</v>
      </c>
      <c r="H19" s="78" t="s">
        <v>55</v>
      </c>
      <c r="I19" s="79" t="s">
        <v>0</v>
      </c>
      <c r="J19" s="78" t="s">
        <v>55</v>
      </c>
      <c r="K19" s="79" t="s">
        <v>0</v>
      </c>
      <c r="L19" s="78" t="s">
        <v>55</v>
      </c>
      <c r="M19" s="79" t="s">
        <v>0</v>
      </c>
    </row>
    <row r="20">
      <c r="A20" s="80">
        <v>1.0</v>
      </c>
      <c r="B20" s="83" t="s">
        <v>44</v>
      </c>
      <c r="C20" s="84" t="s">
        <v>44</v>
      </c>
      <c r="D20" s="83" t="s">
        <v>44</v>
      </c>
      <c r="E20" s="84" t="s">
        <v>44</v>
      </c>
      <c r="F20" s="83" t="s">
        <v>44</v>
      </c>
      <c r="G20" s="84" t="s">
        <v>44</v>
      </c>
      <c r="H20" s="83" t="s">
        <v>44</v>
      </c>
      <c r="I20" s="84" t="s">
        <v>44</v>
      </c>
      <c r="J20" s="85" t="s">
        <v>33</v>
      </c>
      <c r="K20" s="86" t="s">
        <v>8</v>
      </c>
      <c r="L20" s="83" t="s">
        <v>44</v>
      </c>
      <c r="M20" s="84" t="s">
        <v>44</v>
      </c>
    </row>
    <row r="21">
      <c r="A21" s="80">
        <v>2.0</v>
      </c>
      <c r="B21" s="83" t="s">
        <v>44</v>
      </c>
      <c r="C21" s="84" t="s">
        <v>44</v>
      </c>
      <c r="D21" s="83" t="s">
        <v>44</v>
      </c>
      <c r="E21" s="84" t="s">
        <v>44</v>
      </c>
      <c r="F21" s="83" t="s">
        <v>44</v>
      </c>
      <c r="G21" s="84" t="s">
        <v>44</v>
      </c>
      <c r="H21" s="83" t="s">
        <v>44</v>
      </c>
      <c r="I21" s="84" t="s">
        <v>44</v>
      </c>
      <c r="J21" s="83" t="s">
        <v>44</v>
      </c>
      <c r="K21" s="84" t="s">
        <v>44</v>
      </c>
      <c r="L21" s="83" t="s">
        <v>44</v>
      </c>
      <c r="M21" s="84" t="s">
        <v>44</v>
      </c>
    </row>
    <row r="22">
      <c r="A22" s="80">
        <v>3.0</v>
      </c>
      <c r="B22" s="83" t="s">
        <v>44</v>
      </c>
      <c r="C22" s="84" t="s">
        <v>44</v>
      </c>
      <c r="D22" s="83" t="s">
        <v>44</v>
      </c>
      <c r="E22" s="84" t="s">
        <v>44</v>
      </c>
      <c r="F22" s="83" t="s">
        <v>44</v>
      </c>
      <c r="G22" s="84" t="s">
        <v>44</v>
      </c>
      <c r="H22" s="83" t="s">
        <v>44</v>
      </c>
      <c r="I22" s="84" t="s">
        <v>44</v>
      </c>
      <c r="J22" s="83" t="s">
        <v>44</v>
      </c>
      <c r="K22" s="84" t="s">
        <v>44</v>
      </c>
      <c r="L22" s="83" t="s">
        <v>44</v>
      </c>
      <c r="M22" s="84" t="s">
        <v>44</v>
      </c>
    </row>
    <row r="23">
      <c r="A23" s="80">
        <v>4.0</v>
      </c>
      <c r="B23" s="83" t="s">
        <v>44</v>
      </c>
      <c r="C23" s="84" t="s">
        <v>44</v>
      </c>
      <c r="D23" s="83" t="s">
        <v>44</v>
      </c>
      <c r="E23" s="84" t="s">
        <v>44</v>
      </c>
      <c r="F23" s="83" t="s">
        <v>44</v>
      </c>
      <c r="G23" s="84" t="s">
        <v>44</v>
      </c>
      <c r="H23" s="83" t="s">
        <v>44</v>
      </c>
      <c r="I23" s="84" t="s">
        <v>44</v>
      </c>
      <c r="J23" s="83" t="s">
        <v>44</v>
      </c>
      <c r="K23" s="84" t="s">
        <v>44</v>
      </c>
      <c r="L23" s="83" t="s">
        <v>44</v>
      </c>
      <c r="M23" s="84" t="s">
        <v>44</v>
      </c>
    </row>
    <row r="24">
      <c r="A24" s="80">
        <v>5.0</v>
      </c>
      <c r="B24" s="83" t="s">
        <v>44</v>
      </c>
      <c r="C24" s="84" t="s">
        <v>44</v>
      </c>
      <c r="D24" s="83" t="s">
        <v>44</v>
      </c>
      <c r="E24" s="84" t="s">
        <v>44</v>
      </c>
      <c r="F24" s="83" t="s">
        <v>44</v>
      </c>
      <c r="G24" s="84" t="s">
        <v>44</v>
      </c>
      <c r="H24" s="83" t="s">
        <v>44</v>
      </c>
      <c r="I24" s="84" t="s">
        <v>44</v>
      </c>
      <c r="J24" s="83" t="s">
        <v>44</v>
      </c>
      <c r="K24" s="84" t="s">
        <v>44</v>
      </c>
      <c r="L24" s="83" t="s">
        <v>44</v>
      </c>
      <c r="M24" s="84" t="s">
        <v>44</v>
      </c>
    </row>
    <row r="25">
      <c r="A25" s="80">
        <v>6.0</v>
      </c>
      <c r="B25" s="83" t="s">
        <v>44</v>
      </c>
      <c r="C25" s="84" t="s">
        <v>44</v>
      </c>
      <c r="D25" s="83" t="s">
        <v>44</v>
      </c>
      <c r="E25" s="84" t="s">
        <v>44</v>
      </c>
      <c r="F25" s="83" t="s">
        <v>44</v>
      </c>
      <c r="G25" s="84" t="s">
        <v>44</v>
      </c>
      <c r="H25" s="83" t="s">
        <v>44</v>
      </c>
      <c r="I25" s="84" t="s">
        <v>44</v>
      </c>
      <c r="J25" s="83" t="s">
        <v>44</v>
      </c>
      <c r="K25" s="84" t="s">
        <v>44</v>
      </c>
      <c r="L25" s="83" t="s">
        <v>44</v>
      </c>
      <c r="M25" s="84" t="s">
        <v>44</v>
      </c>
    </row>
    <row r="26">
      <c r="A26" s="80">
        <v>7.0</v>
      </c>
      <c r="B26" s="83" t="s">
        <v>44</v>
      </c>
      <c r="C26" s="84" t="s">
        <v>44</v>
      </c>
      <c r="D26" s="83" t="s">
        <v>44</v>
      </c>
      <c r="E26" s="84" t="s">
        <v>44</v>
      </c>
      <c r="F26" s="83" t="s">
        <v>44</v>
      </c>
      <c r="G26" s="84" t="s">
        <v>44</v>
      </c>
      <c r="H26" s="83" t="s">
        <v>44</v>
      </c>
      <c r="I26" s="84" t="s">
        <v>44</v>
      </c>
      <c r="J26" s="83" t="s">
        <v>44</v>
      </c>
      <c r="K26" s="84" t="s">
        <v>44</v>
      </c>
      <c r="L26" s="83" t="s">
        <v>44</v>
      </c>
      <c r="M26" s="84" t="s">
        <v>44</v>
      </c>
    </row>
    <row r="27">
      <c r="A27" s="80">
        <v>8.0</v>
      </c>
      <c r="B27" s="83" t="s">
        <v>44</v>
      </c>
      <c r="C27" s="84" t="s">
        <v>44</v>
      </c>
      <c r="D27" s="83" t="s">
        <v>44</v>
      </c>
      <c r="E27" s="84" t="s">
        <v>44</v>
      </c>
      <c r="F27" s="83" t="s">
        <v>44</v>
      </c>
      <c r="G27" s="84" t="s">
        <v>44</v>
      </c>
      <c r="H27" s="83" t="s">
        <v>44</v>
      </c>
      <c r="I27" s="84" t="s">
        <v>44</v>
      </c>
      <c r="J27" s="83" t="s">
        <v>44</v>
      </c>
      <c r="K27" s="84" t="s">
        <v>44</v>
      </c>
      <c r="L27" s="83" t="s">
        <v>44</v>
      </c>
      <c r="M27" s="84" t="s">
        <v>44</v>
      </c>
    </row>
    <row r="28">
      <c r="A28" s="80">
        <v>9.0</v>
      </c>
      <c r="B28" s="83" t="s">
        <v>44</v>
      </c>
      <c r="C28" s="84" t="s">
        <v>44</v>
      </c>
      <c r="D28" s="83" t="s">
        <v>44</v>
      </c>
      <c r="E28" s="84" t="s">
        <v>44</v>
      </c>
      <c r="F28" s="83" t="s">
        <v>44</v>
      </c>
      <c r="G28" s="84" t="s">
        <v>44</v>
      </c>
      <c r="H28" s="83" t="s">
        <v>44</v>
      </c>
      <c r="I28" s="84" t="s">
        <v>44</v>
      </c>
      <c r="J28" s="83" t="s">
        <v>44</v>
      </c>
      <c r="K28" s="84" t="s">
        <v>44</v>
      </c>
      <c r="L28" s="83" t="s">
        <v>44</v>
      </c>
      <c r="M28" s="84" t="s">
        <v>44</v>
      </c>
    </row>
    <row r="29">
      <c r="A29" s="80">
        <v>10.0</v>
      </c>
      <c r="B29" s="83" t="s">
        <v>44</v>
      </c>
      <c r="C29" s="84" t="s">
        <v>44</v>
      </c>
      <c r="D29" s="83" t="s">
        <v>44</v>
      </c>
      <c r="E29" s="84" t="s">
        <v>44</v>
      </c>
      <c r="F29" s="83" t="s">
        <v>44</v>
      </c>
      <c r="G29" s="84" t="s">
        <v>44</v>
      </c>
      <c r="H29" s="83" t="s">
        <v>44</v>
      </c>
      <c r="I29" s="84" t="s">
        <v>44</v>
      </c>
      <c r="J29" s="83" t="s">
        <v>44</v>
      </c>
      <c r="K29" s="84" t="s">
        <v>44</v>
      </c>
      <c r="L29" s="83" t="s">
        <v>44</v>
      </c>
      <c r="M29" s="84" t="s">
        <v>44</v>
      </c>
    </row>
    <row r="31">
      <c r="A31" s="73" t="s">
        <v>59</v>
      </c>
    </row>
    <row r="32">
      <c r="A32" s="74" t="s">
        <v>54</v>
      </c>
      <c r="B32" s="75" t="s">
        <v>30</v>
      </c>
      <c r="C32" s="76"/>
      <c r="D32" s="75" t="s">
        <v>31</v>
      </c>
      <c r="E32" s="76"/>
      <c r="F32" s="75" t="s">
        <v>32</v>
      </c>
      <c r="G32" s="76"/>
      <c r="H32" s="75" t="s">
        <v>33</v>
      </c>
      <c r="I32" s="76"/>
      <c r="J32" s="75" t="s">
        <v>34</v>
      </c>
      <c r="K32" s="76"/>
      <c r="L32" s="75" t="s">
        <v>35</v>
      </c>
      <c r="M32" s="76"/>
    </row>
    <row r="33">
      <c r="A33" s="77"/>
      <c r="B33" s="78" t="s">
        <v>55</v>
      </c>
      <c r="C33" s="79" t="s">
        <v>0</v>
      </c>
      <c r="D33" s="78" t="s">
        <v>55</v>
      </c>
      <c r="E33" s="79" t="s">
        <v>0</v>
      </c>
      <c r="F33" s="78" t="s">
        <v>55</v>
      </c>
      <c r="G33" s="79" t="s">
        <v>0</v>
      </c>
      <c r="H33" s="78" t="s">
        <v>55</v>
      </c>
      <c r="I33" s="79" t="s">
        <v>0</v>
      </c>
      <c r="J33" s="78" t="s">
        <v>55</v>
      </c>
      <c r="K33" s="79" t="s">
        <v>0</v>
      </c>
      <c r="L33" s="78" t="s">
        <v>55</v>
      </c>
      <c r="M33" s="79" t="s">
        <v>0</v>
      </c>
    </row>
    <row r="34">
      <c r="A34" s="80">
        <v>1.0</v>
      </c>
      <c r="B34" s="81" t="s">
        <v>33</v>
      </c>
      <c r="C34" s="82" t="s">
        <v>3</v>
      </c>
      <c r="D34" s="83" t="s">
        <v>44</v>
      </c>
      <c r="E34" s="84" t="s">
        <v>44</v>
      </c>
      <c r="F34" s="83" t="s">
        <v>44</v>
      </c>
      <c r="G34" s="84" t="s">
        <v>44</v>
      </c>
      <c r="H34" s="85" t="s">
        <v>30</v>
      </c>
      <c r="I34" s="86" t="s">
        <v>2</v>
      </c>
      <c r="J34" s="83" t="s">
        <v>44</v>
      </c>
      <c r="K34" s="84" t="s">
        <v>44</v>
      </c>
      <c r="L34" s="87" t="s">
        <v>30</v>
      </c>
      <c r="M34" s="82" t="s">
        <v>14</v>
      </c>
    </row>
    <row r="35">
      <c r="A35" s="80">
        <v>2.0</v>
      </c>
      <c r="B35" s="85" t="s">
        <v>33</v>
      </c>
      <c r="C35" s="86" t="s">
        <v>10</v>
      </c>
      <c r="D35" s="83" t="s">
        <v>44</v>
      </c>
      <c r="E35" s="84" t="s">
        <v>44</v>
      </c>
      <c r="F35" s="83" t="s">
        <v>44</v>
      </c>
      <c r="G35" s="84" t="s">
        <v>44</v>
      </c>
      <c r="H35" s="85" t="s">
        <v>30</v>
      </c>
      <c r="I35" s="86" t="s">
        <v>15</v>
      </c>
      <c r="J35" s="83" t="s">
        <v>44</v>
      </c>
      <c r="K35" s="84" t="s">
        <v>44</v>
      </c>
      <c r="L35" s="88" t="s">
        <v>30</v>
      </c>
      <c r="M35" s="86" t="s">
        <v>14</v>
      </c>
    </row>
    <row r="36">
      <c r="A36" s="80">
        <v>3.0</v>
      </c>
      <c r="B36" s="85" t="s">
        <v>33</v>
      </c>
      <c r="C36" s="86" t="s">
        <v>3</v>
      </c>
      <c r="D36" s="83" t="s">
        <v>44</v>
      </c>
      <c r="E36" s="84" t="s">
        <v>44</v>
      </c>
      <c r="F36" s="83" t="s">
        <v>44</v>
      </c>
      <c r="G36" s="84" t="s">
        <v>44</v>
      </c>
      <c r="H36" s="83" t="s">
        <v>44</v>
      </c>
      <c r="I36" s="84" t="s">
        <v>44</v>
      </c>
      <c r="J36" s="83" t="s">
        <v>44</v>
      </c>
      <c r="K36" s="84" t="s">
        <v>44</v>
      </c>
      <c r="L36" s="88" t="s">
        <v>30</v>
      </c>
      <c r="M36" s="86" t="s">
        <v>9</v>
      </c>
    </row>
    <row r="37">
      <c r="A37" s="80">
        <v>4.0</v>
      </c>
      <c r="B37" s="85" t="s">
        <v>33</v>
      </c>
      <c r="C37" s="86" t="s">
        <v>9</v>
      </c>
      <c r="D37" s="83" t="s">
        <v>44</v>
      </c>
      <c r="E37" s="84" t="s">
        <v>44</v>
      </c>
      <c r="F37" s="83" t="s">
        <v>44</v>
      </c>
      <c r="G37" s="84" t="s">
        <v>44</v>
      </c>
      <c r="H37" s="83" t="s">
        <v>44</v>
      </c>
      <c r="I37" s="84" t="s">
        <v>44</v>
      </c>
      <c r="J37" s="83" t="s">
        <v>44</v>
      </c>
      <c r="K37" s="84" t="s">
        <v>44</v>
      </c>
      <c r="L37" s="88" t="s">
        <v>30</v>
      </c>
      <c r="M37" s="86" t="s">
        <v>7</v>
      </c>
    </row>
    <row r="38">
      <c r="A38" s="80">
        <v>5.0</v>
      </c>
      <c r="B38" s="85" t="s">
        <v>33</v>
      </c>
      <c r="C38" s="86" t="s">
        <v>10</v>
      </c>
      <c r="D38" s="83" t="s">
        <v>44</v>
      </c>
      <c r="E38" s="84" t="s">
        <v>44</v>
      </c>
      <c r="F38" s="83" t="s">
        <v>44</v>
      </c>
      <c r="G38" s="84" t="s">
        <v>44</v>
      </c>
      <c r="H38" s="85" t="s">
        <v>30</v>
      </c>
      <c r="I38" s="86" t="s">
        <v>13</v>
      </c>
      <c r="J38" s="83" t="s">
        <v>44</v>
      </c>
      <c r="K38" s="84" t="s">
        <v>44</v>
      </c>
      <c r="L38" s="88" t="s">
        <v>30</v>
      </c>
      <c r="M38" s="86" t="s">
        <v>15</v>
      </c>
    </row>
    <row r="39">
      <c r="A39" s="80">
        <v>6.0</v>
      </c>
      <c r="B39" s="83" t="s">
        <v>44</v>
      </c>
      <c r="C39" s="84" t="s">
        <v>44</v>
      </c>
      <c r="D39" s="83" t="s">
        <v>44</v>
      </c>
      <c r="E39" s="84" t="s">
        <v>44</v>
      </c>
      <c r="F39" s="83" t="s">
        <v>44</v>
      </c>
      <c r="G39" s="84" t="s">
        <v>44</v>
      </c>
      <c r="H39" s="83"/>
      <c r="I39" s="84"/>
      <c r="J39" s="83" t="s">
        <v>44</v>
      </c>
      <c r="K39" s="84" t="s">
        <v>44</v>
      </c>
      <c r="L39" s="88" t="s">
        <v>30</v>
      </c>
      <c r="M39" s="86" t="s">
        <v>11</v>
      </c>
    </row>
    <row r="40">
      <c r="A40" s="80">
        <v>7.0</v>
      </c>
      <c r="B40" s="85" t="s">
        <v>33</v>
      </c>
      <c r="C40" s="86" t="s">
        <v>7</v>
      </c>
      <c r="D40" s="83" t="s">
        <v>44</v>
      </c>
      <c r="E40" s="84" t="s">
        <v>44</v>
      </c>
      <c r="F40" s="83" t="s">
        <v>44</v>
      </c>
      <c r="G40" s="84" t="s">
        <v>44</v>
      </c>
      <c r="H40" s="85" t="s">
        <v>30</v>
      </c>
      <c r="I40" s="86" t="s">
        <v>16</v>
      </c>
      <c r="J40" s="83" t="s">
        <v>44</v>
      </c>
      <c r="K40" s="84" t="s">
        <v>44</v>
      </c>
      <c r="L40" s="88" t="s">
        <v>30</v>
      </c>
      <c r="M40" s="86" t="s">
        <v>11</v>
      </c>
    </row>
    <row r="41">
      <c r="A41" s="80">
        <v>8.0</v>
      </c>
      <c r="B41" s="85" t="s">
        <v>33</v>
      </c>
      <c r="C41" s="86" t="s">
        <v>14</v>
      </c>
      <c r="D41" s="83" t="s">
        <v>44</v>
      </c>
      <c r="E41" s="84" t="s">
        <v>44</v>
      </c>
      <c r="F41" s="83" t="s">
        <v>44</v>
      </c>
      <c r="G41" s="84" t="s">
        <v>44</v>
      </c>
      <c r="H41" s="83" t="s">
        <v>44</v>
      </c>
      <c r="I41" s="84" t="s">
        <v>44</v>
      </c>
      <c r="J41" s="83" t="s">
        <v>44</v>
      </c>
      <c r="K41" s="84" t="s">
        <v>44</v>
      </c>
      <c r="L41" s="88" t="s">
        <v>30</v>
      </c>
      <c r="M41" s="86" t="s">
        <v>6</v>
      </c>
    </row>
    <row r="42">
      <c r="A42" s="80">
        <v>9.0</v>
      </c>
      <c r="B42" s="85" t="s">
        <v>33</v>
      </c>
      <c r="C42" s="86" t="s">
        <v>2</v>
      </c>
      <c r="D42" s="83" t="s">
        <v>44</v>
      </c>
      <c r="E42" s="84" t="s">
        <v>44</v>
      </c>
      <c r="F42" s="83" t="s">
        <v>44</v>
      </c>
      <c r="G42" s="84" t="s">
        <v>44</v>
      </c>
      <c r="H42" s="83" t="s">
        <v>44</v>
      </c>
      <c r="I42" s="84" t="s">
        <v>44</v>
      </c>
      <c r="J42" s="83" t="s">
        <v>44</v>
      </c>
      <c r="K42" s="84" t="s">
        <v>44</v>
      </c>
      <c r="L42" s="83" t="s">
        <v>44</v>
      </c>
      <c r="M42" s="84" t="s">
        <v>44</v>
      </c>
    </row>
    <row r="43">
      <c r="A43" s="80">
        <v>10.0</v>
      </c>
      <c r="B43" s="83" t="s">
        <v>44</v>
      </c>
      <c r="C43" s="84" t="s">
        <v>44</v>
      </c>
      <c r="D43" s="83" t="s">
        <v>44</v>
      </c>
      <c r="E43" s="84" t="s">
        <v>44</v>
      </c>
      <c r="F43" s="83" t="s">
        <v>44</v>
      </c>
      <c r="G43" s="84" t="s">
        <v>44</v>
      </c>
      <c r="H43" s="83" t="s">
        <v>44</v>
      </c>
      <c r="I43" s="84" t="s">
        <v>44</v>
      </c>
      <c r="J43" s="83" t="s">
        <v>44</v>
      </c>
      <c r="K43" s="84" t="s">
        <v>44</v>
      </c>
      <c r="L43" s="88" t="s">
        <v>30</v>
      </c>
      <c r="M43" s="86" t="s">
        <v>11</v>
      </c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</row>
    <row r="46">
      <c r="A46" s="74" t="s">
        <v>58</v>
      </c>
      <c r="B46" s="75" t="s">
        <v>30</v>
      </c>
      <c r="C46" s="76"/>
      <c r="D46" s="75" t="s">
        <v>31</v>
      </c>
      <c r="E46" s="76"/>
      <c r="F46" s="75" t="s">
        <v>32</v>
      </c>
      <c r="G46" s="76"/>
      <c r="H46" s="75" t="s">
        <v>33</v>
      </c>
      <c r="I46" s="76"/>
      <c r="J46" s="75" t="s">
        <v>34</v>
      </c>
      <c r="K46" s="76"/>
      <c r="L46" s="75" t="s">
        <v>35</v>
      </c>
      <c r="M46" s="76"/>
    </row>
    <row r="47">
      <c r="A47" s="77"/>
      <c r="B47" s="78" t="s">
        <v>55</v>
      </c>
      <c r="C47" s="79" t="s">
        <v>0</v>
      </c>
      <c r="D47" s="78" t="s">
        <v>55</v>
      </c>
      <c r="E47" s="79" t="s">
        <v>0</v>
      </c>
      <c r="F47" s="78" t="s">
        <v>55</v>
      </c>
      <c r="G47" s="79" t="s">
        <v>0</v>
      </c>
      <c r="H47" s="78" t="s">
        <v>55</v>
      </c>
      <c r="I47" s="79" t="s">
        <v>0</v>
      </c>
      <c r="J47" s="78" t="s">
        <v>55</v>
      </c>
      <c r="K47" s="79" t="s">
        <v>0</v>
      </c>
      <c r="L47" s="78" t="s">
        <v>55</v>
      </c>
      <c r="M47" s="79" t="s">
        <v>0</v>
      </c>
    </row>
    <row r="48">
      <c r="A48" s="80">
        <v>1.0</v>
      </c>
      <c r="B48" s="83" t="s">
        <v>44</v>
      </c>
      <c r="C48" s="84" t="s">
        <v>44</v>
      </c>
      <c r="D48" s="83" t="s">
        <v>44</v>
      </c>
      <c r="E48" s="84" t="s">
        <v>44</v>
      </c>
      <c r="F48" s="83" t="s">
        <v>44</v>
      </c>
      <c r="G48" s="84" t="s">
        <v>44</v>
      </c>
      <c r="H48" s="83" t="s">
        <v>44</v>
      </c>
      <c r="I48" s="84" t="s">
        <v>44</v>
      </c>
      <c r="J48" s="85" t="s">
        <v>30</v>
      </c>
      <c r="K48" s="86" t="s">
        <v>2</v>
      </c>
      <c r="L48" s="83" t="s">
        <v>44</v>
      </c>
      <c r="M48" s="84" t="s">
        <v>44</v>
      </c>
    </row>
    <row r="49">
      <c r="A49" s="80">
        <v>2.0</v>
      </c>
      <c r="B49" s="83" t="s">
        <v>44</v>
      </c>
      <c r="C49" s="84" t="s">
        <v>44</v>
      </c>
      <c r="D49" s="83" t="s">
        <v>44</v>
      </c>
      <c r="E49" s="84" t="s">
        <v>44</v>
      </c>
      <c r="F49" s="83" t="s">
        <v>44</v>
      </c>
      <c r="G49" s="84" t="s">
        <v>44</v>
      </c>
      <c r="H49" s="83" t="s">
        <v>44</v>
      </c>
      <c r="I49" s="84" t="s">
        <v>44</v>
      </c>
      <c r="J49" s="83" t="s">
        <v>44</v>
      </c>
      <c r="K49" s="84" t="s">
        <v>44</v>
      </c>
      <c r="L49" s="83" t="s">
        <v>44</v>
      </c>
      <c r="M49" s="84" t="s">
        <v>44</v>
      </c>
    </row>
    <row r="50">
      <c r="A50" s="80">
        <v>3.0</v>
      </c>
      <c r="B50" s="83" t="s">
        <v>44</v>
      </c>
      <c r="C50" s="84" t="s">
        <v>44</v>
      </c>
      <c r="D50" s="83" t="s">
        <v>44</v>
      </c>
      <c r="E50" s="84" t="s">
        <v>44</v>
      </c>
      <c r="F50" s="83" t="s">
        <v>44</v>
      </c>
      <c r="G50" s="84" t="s">
        <v>44</v>
      </c>
      <c r="H50" s="83" t="s">
        <v>44</v>
      </c>
      <c r="I50" s="84" t="s">
        <v>44</v>
      </c>
      <c r="J50" s="83" t="s">
        <v>44</v>
      </c>
      <c r="K50" s="84" t="s">
        <v>44</v>
      </c>
      <c r="L50" s="83" t="s">
        <v>44</v>
      </c>
      <c r="M50" s="84" t="s">
        <v>44</v>
      </c>
    </row>
    <row r="51">
      <c r="A51" s="80">
        <v>4.0</v>
      </c>
      <c r="B51" s="83" t="s">
        <v>44</v>
      </c>
      <c r="C51" s="84" t="s">
        <v>44</v>
      </c>
      <c r="D51" s="83" t="s">
        <v>44</v>
      </c>
      <c r="E51" s="84" t="s">
        <v>44</v>
      </c>
      <c r="F51" s="83" t="s">
        <v>44</v>
      </c>
      <c r="G51" s="84" t="s">
        <v>44</v>
      </c>
      <c r="H51" s="83" t="s">
        <v>44</v>
      </c>
      <c r="I51" s="84" t="s">
        <v>44</v>
      </c>
      <c r="J51" s="83" t="s">
        <v>44</v>
      </c>
      <c r="K51" s="84" t="s">
        <v>44</v>
      </c>
      <c r="L51" s="83" t="s">
        <v>44</v>
      </c>
      <c r="M51" s="84" t="s">
        <v>44</v>
      </c>
    </row>
    <row r="52">
      <c r="A52" s="80">
        <v>5.0</v>
      </c>
      <c r="B52" s="83" t="s">
        <v>44</v>
      </c>
      <c r="C52" s="84" t="s">
        <v>44</v>
      </c>
      <c r="D52" s="83" t="s">
        <v>44</v>
      </c>
      <c r="E52" s="84" t="s">
        <v>44</v>
      </c>
      <c r="F52" s="85" t="s">
        <v>33</v>
      </c>
      <c r="G52" s="86" t="s">
        <v>8</v>
      </c>
      <c r="H52" s="85" t="s">
        <v>30</v>
      </c>
      <c r="I52" s="86" t="s">
        <v>13</v>
      </c>
      <c r="J52" s="83" t="s">
        <v>44</v>
      </c>
      <c r="K52" s="84" t="s">
        <v>44</v>
      </c>
      <c r="L52" s="83" t="s">
        <v>44</v>
      </c>
      <c r="M52" s="84" t="s">
        <v>44</v>
      </c>
    </row>
    <row r="53">
      <c r="A53" s="80">
        <v>6.0</v>
      </c>
      <c r="B53" s="83" t="s">
        <v>44</v>
      </c>
      <c r="C53" s="84" t="s">
        <v>44</v>
      </c>
      <c r="D53" s="85" t="s">
        <v>60</v>
      </c>
      <c r="E53" s="86" t="s">
        <v>6</v>
      </c>
      <c r="F53" s="83" t="s">
        <v>44</v>
      </c>
      <c r="G53" s="84" t="s">
        <v>44</v>
      </c>
      <c r="H53" s="83" t="s">
        <v>44</v>
      </c>
      <c r="I53" s="84" t="s">
        <v>44</v>
      </c>
      <c r="J53" s="83" t="s">
        <v>44</v>
      </c>
      <c r="K53" s="84" t="s">
        <v>44</v>
      </c>
      <c r="L53" s="88" t="s">
        <v>30</v>
      </c>
      <c r="M53" s="86" t="s">
        <v>11</v>
      </c>
    </row>
    <row r="54">
      <c r="A54" s="80">
        <v>7.0</v>
      </c>
      <c r="B54" s="83" t="s">
        <v>44</v>
      </c>
      <c r="C54" s="84" t="s">
        <v>44</v>
      </c>
      <c r="D54" s="83" t="s">
        <v>44</v>
      </c>
      <c r="E54" s="84" t="s">
        <v>44</v>
      </c>
      <c r="F54" s="83" t="s">
        <v>44</v>
      </c>
      <c r="G54" s="84" t="s">
        <v>44</v>
      </c>
      <c r="H54" s="83" t="s">
        <v>44</v>
      </c>
      <c r="I54" s="84" t="s">
        <v>44</v>
      </c>
      <c r="J54" s="83" t="s">
        <v>44</v>
      </c>
      <c r="K54" s="84" t="s">
        <v>44</v>
      </c>
      <c r="L54" s="83" t="s">
        <v>44</v>
      </c>
      <c r="M54" s="84" t="s">
        <v>44</v>
      </c>
    </row>
    <row r="55">
      <c r="A55" s="80">
        <v>8.0</v>
      </c>
      <c r="B55" s="83" t="s">
        <v>44</v>
      </c>
      <c r="C55" s="84" t="s">
        <v>44</v>
      </c>
      <c r="D55" s="83" t="s">
        <v>44</v>
      </c>
      <c r="E55" s="84" t="s">
        <v>44</v>
      </c>
      <c r="F55" s="83" t="s">
        <v>44</v>
      </c>
      <c r="G55" s="84" t="s">
        <v>44</v>
      </c>
      <c r="H55" s="83" t="s">
        <v>44</v>
      </c>
      <c r="I55" s="84" t="s">
        <v>44</v>
      </c>
      <c r="J55" s="85" t="s">
        <v>30</v>
      </c>
      <c r="K55" s="86" t="s">
        <v>10</v>
      </c>
      <c r="L55" s="83" t="s">
        <v>44</v>
      </c>
      <c r="M55" s="84" t="s">
        <v>44</v>
      </c>
    </row>
    <row r="56">
      <c r="A56" s="80">
        <v>9.0</v>
      </c>
      <c r="B56" s="83" t="s">
        <v>44</v>
      </c>
      <c r="C56" s="84" t="s">
        <v>44</v>
      </c>
      <c r="D56" s="83" t="s">
        <v>44</v>
      </c>
      <c r="E56" s="84" t="s">
        <v>44</v>
      </c>
      <c r="F56" s="83" t="s">
        <v>44</v>
      </c>
      <c r="G56" s="84" t="s">
        <v>44</v>
      </c>
      <c r="H56" s="83" t="s">
        <v>44</v>
      </c>
      <c r="I56" s="84" t="s">
        <v>44</v>
      </c>
      <c r="J56" s="83" t="s">
        <v>44</v>
      </c>
      <c r="K56" s="84" t="s">
        <v>44</v>
      </c>
      <c r="L56" s="83" t="s">
        <v>44</v>
      </c>
      <c r="M56" s="84" t="s">
        <v>44</v>
      </c>
    </row>
    <row r="57">
      <c r="A57" s="80">
        <v>10.0</v>
      </c>
      <c r="B57" s="83" t="s">
        <v>44</v>
      </c>
      <c r="C57" s="84" t="s">
        <v>44</v>
      </c>
      <c r="D57" s="36" t="s">
        <v>33</v>
      </c>
      <c r="E57" s="36" t="s">
        <v>7</v>
      </c>
      <c r="F57" s="83" t="s">
        <v>44</v>
      </c>
      <c r="G57" s="84" t="s">
        <v>44</v>
      </c>
      <c r="H57" s="83" t="s">
        <v>44</v>
      </c>
      <c r="I57" s="84" t="s">
        <v>44</v>
      </c>
      <c r="J57" s="83" t="s">
        <v>44</v>
      </c>
      <c r="K57" s="84" t="s">
        <v>44</v>
      </c>
      <c r="L57" s="83" t="s">
        <v>44</v>
      </c>
      <c r="M57" s="84" t="s">
        <v>44</v>
      </c>
    </row>
    <row r="59">
      <c r="A59" s="73" t="s">
        <v>61</v>
      </c>
    </row>
    <row r="60">
      <c r="A60" s="74" t="s">
        <v>54</v>
      </c>
      <c r="B60" s="75" t="s">
        <v>30</v>
      </c>
      <c r="C60" s="76"/>
      <c r="D60" s="75" t="s">
        <v>31</v>
      </c>
      <c r="E60" s="76"/>
      <c r="F60" s="75" t="s">
        <v>32</v>
      </c>
      <c r="G60" s="76"/>
      <c r="H60" s="75" t="s">
        <v>33</v>
      </c>
      <c r="I60" s="76"/>
      <c r="J60" s="75" t="s">
        <v>34</v>
      </c>
      <c r="K60" s="76"/>
      <c r="L60" s="75" t="s">
        <v>35</v>
      </c>
      <c r="M60" s="76"/>
    </row>
    <row r="61">
      <c r="A61" s="77"/>
      <c r="B61" s="78" t="s">
        <v>55</v>
      </c>
      <c r="C61" s="79" t="s">
        <v>0</v>
      </c>
      <c r="D61" s="78" t="s">
        <v>55</v>
      </c>
      <c r="E61" s="79" t="s">
        <v>0</v>
      </c>
      <c r="F61" s="78" t="s">
        <v>55</v>
      </c>
      <c r="G61" s="79" t="s">
        <v>0</v>
      </c>
      <c r="H61" s="78" t="s">
        <v>55</v>
      </c>
      <c r="I61" s="79" t="s">
        <v>0</v>
      </c>
      <c r="J61" s="78" t="s">
        <v>55</v>
      </c>
      <c r="K61" s="79" t="s">
        <v>0</v>
      </c>
      <c r="L61" s="78" t="s">
        <v>55</v>
      </c>
      <c r="M61" s="79" t="s">
        <v>0</v>
      </c>
    </row>
    <row r="62">
      <c r="A62" s="80">
        <v>1.0</v>
      </c>
      <c r="B62" s="83" t="s">
        <v>44</v>
      </c>
      <c r="C62" s="84" t="s">
        <v>44</v>
      </c>
      <c r="D62" s="83" t="s">
        <v>44</v>
      </c>
      <c r="E62" s="84" t="s">
        <v>44</v>
      </c>
      <c r="F62" s="83" t="s">
        <v>44</v>
      </c>
      <c r="G62" s="84" t="s">
        <v>44</v>
      </c>
      <c r="H62" s="85" t="s">
        <v>30</v>
      </c>
      <c r="I62" s="86" t="s">
        <v>11</v>
      </c>
      <c r="J62" s="83" t="s">
        <v>44</v>
      </c>
      <c r="K62" s="84" t="s">
        <v>44</v>
      </c>
      <c r="L62" s="87" t="s">
        <v>30</v>
      </c>
      <c r="M62" s="82" t="s">
        <v>4</v>
      </c>
    </row>
    <row r="63">
      <c r="A63" s="80">
        <v>2.0</v>
      </c>
      <c r="B63" s="83" t="s">
        <v>44</v>
      </c>
      <c r="C63" s="84" t="s">
        <v>44</v>
      </c>
      <c r="D63" s="83" t="s">
        <v>44</v>
      </c>
      <c r="E63" s="84" t="s">
        <v>44</v>
      </c>
      <c r="F63" s="83" t="s">
        <v>44</v>
      </c>
      <c r="G63" s="84" t="s">
        <v>44</v>
      </c>
      <c r="H63" s="85" t="s">
        <v>30</v>
      </c>
      <c r="I63" s="86" t="s">
        <v>11</v>
      </c>
      <c r="J63" s="83" t="s">
        <v>44</v>
      </c>
      <c r="K63" s="84" t="s">
        <v>44</v>
      </c>
      <c r="L63" s="83" t="s">
        <v>44</v>
      </c>
      <c r="M63" s="84" t="s">
        <v>44</v>
      </c>
    </row>
    <row r="64">
      <c r="A64" s="80">
        <v>3.0</v>
      </c>
      <c r="B64" s="83" t="s">
        <v>44</v>
      </c>
      <c r="C64" s="84" t="s">
        <v>44</v>
      </c>
      <c r="D64" s="83" t="s">
        <v>44</v>
      </c>
      <c r="E64" s="84" t="s">
        <v>44</v>
      </c>
      <c r="F64" s="83" t="s">
        <v>44</v>
      </c>
      <c r="G64" s="84" t="s">
        <v>44</v>
      </c>
      <c r="H64" s="85" t="s">
        <v>30</v>
      </c>
      <c r="I64" s="86" t="s">
        <v>11</v>
      </c>
      <c r="J64" s="83" t="s">
        <v>44</v>
      </c>
      <c r="K64" s="84" t="s">
        <v>44</v>
      </c>
      <c r="L64" s="83" t="s">
        <v>44</v>
      </c>
      <c r="M64" s="84" t="s">
        <v>44</v>
      </c>
    </row>
    <row r="65">
      <c r="A65" s="80">
        <v>4.0</v>
      </c>
      <c r="B65" s="85" t="s">
        <v>33</v>
      </c>
      <c r="C65" s="86" t="s">
        <v>2</v>
      </c>
      <c r="D65" s="83" t="s">
        <v>44</v>
      </c>
      <c r="E65" s="84" t="s">
        <v>44</v>
      </c>
      <c r="F65" s="83" t="s">
        <v>44</v>
      </c>
      <c r="G65" s="84" t="s">
        <v>44</v>
      </c>
      <c r="H65" s="85" t="s">
        <v>30</v>
      </c>
      <c r="I65" s="86" t="s">
        <v>16</v>
      </c>
      <c r="J65" s="83" t="s">
        <v>44</v>
      </c>
      <c r="K65" s="84" t="s">
        <v>44</v>
      </c>
      <c r="L65" s="88" t="s">
        <v>30</v>
      </c>
      <c r="M65" s="86" t="s">
        <v>11</v>
      </c>
    </row>
    <row r="66">
      <c r="A66" s="80">
        <v>5.0</v>
      </c>
      <c r="B66" s="85" t="s">
        <v>33</v>
      </c>
      <c r="C66" s="86" t="s">
        <v>2</v>
      </c>
      <c r="D66" s="83" t="s">
        <v>44</v>
      </c>
      <c r="E66" s="84" t="s">
        <v>44</v>
      </c>
      <c r="F66" s="83" t="s">
        <v>44</v>
      </c>
      <c r="G66" s="84" t="s">
        <v>44</v>
      </c>
      <c r="H66" s="85" t="s">
        <v>30</v>
      </c>
      <c r="I66" s="86" t="s">
        <v>16</v>
      </c>
      <c r="J66" s="83" t="s">
        <v>44</v>
      </c>
      <c r="K66" s="84" t="s">
        <v>44</v>
      </c>
      <c r="L66" s="88" t="s">
        <v>30</v>
      </c>
      <c r="M66" s="86" t="s">
        <v>17</v>
      </c>
    </row>
    <row r="67">
      <c r="A67" s="80">
        <v>6.0</v>
      </c>
      <c r="B67" s="85" t="s">
        <v>33</v>
      </c>
      <c r="C67" s="86" t="s">
        <v>2</v>
      </c>
      <c r="D67" s="83" t="s">
        <v>44</v>
      </c>
      <c r="E67" s="84" t="s">
        <v>44</v>
      </c>
      <c r="F67" s="83" t="s">
        <v>44</v>
      </c>
      <c r="G67" s="84" t="s">
        <v>44</v>
      </c>
      <c r="H67" s="85" t="s">
        <v>30</v>
      </c>
      <c r="I67" s="86" t="s">
        <v>4</v>
      </c>
      <c r="J67" s="83" t="s">
        <v>44</v>
      </c>
      <c r="K67" s="84" t="s">
        <v>44</v>
      </c>
      <c r="L67" s="83" t="s">
        <v>44</v>
      </c>
      <c r="M67" s="84" t="s">
        <v>44</v>
      </c>
    </row>
    <row r="68">
      <c r="A68" s="80">
        <v>7.0</v>
      </c>
      <c r="B68" s="85" t="s">
        <v>33</v>
      </c>
      <c r="C68" s="86" t="s">
        <v>10</v>
      </c>
      <c r="D68" s="83" t="s">
        <v>44</v>
      </c>
      <c r="E68" s="84" t="s">
        <v>44</v>
      </c>
      <c r="F68" s="83" t="s">
        <v>44</v>
      </c>
      <c r="G68" s="84" t="s">
        <v>44</v>
      </c>
      <c r="H68" s="85" t="s">
        <v>30</v>
      </c>
      <c r="I68" s="86" t="s">
        <v>13</v>
      </c>
      <c r="J68" s="83" t="s">
        <v>44</v>
      </c>
      <c r="K68" s="84" t="s">
        <v>44</v>
      </c>
      <c r="L68" s="88" t="s">
        <v>30</v>
      </c>
      <c r="M68" s="86" t="s">
        <v>7</v>
      </c>
    </row>
    <row r="69">
      <c r="A69" s="80">
        <v>8.0</v>
      </c>
      <c r="B69" s="85" t="s">
        <v>33</v>
      </c>
      <c r="C69" s="86" t="s">
        <v>10</v>
      </c>
      <c r="D69" s="83" t="s">
        <v>44</v>
      </c>
      <c r="E69" s="84" t="s">
        <v>44</v>
      </c>
      <c r="F69" s="83" t="s">
        <v>44</v>
      </c>
      <c r="G69" s="84" t="s">
        <v>44</v>
      </c>
      <c r="H69" s="85" t="s">
        <v>30</v>
      </c>
      <c r="I69" s="86" t="s">
        <v>13</v>
      </c>
      <c r="J69" s="83" t="s">
        <v>44</v>
      </c>
      <c r="K69" s="84" t="s">
        <v>44</v>
      </c>
      <c r="L69" s="88" t="s">
        <v>30</v>
      </c>
      <c r="M69" s="86" t="s">
        <v>2</v>
      </c>
    </row>
    <row r="70">
      <c r="A70" s="80">
        <v>9.0</v>
      </c>
      <c r="B70" s="83" t="s">
        <v>44</v>
      </c>
      <c r="C70" s="84" t="s">
        <v>44</v>
      </c>
      <c r="D70" s="83" t="s">
        <v>44</v>
      </c>
      <c r="E70" s="84" t="s">
        <v>44</v>
      </c>
      <c r="F70" s="83" t="s">
        <v>44</v>
      </c>
      <c r="G70" s="84" t="s">
        <v>44</v>
      </c>
      <c r="H70" s="83" t="s">
        <v>44</v>
      </c>
      <c r="I70" s="84" t="s">
        <v>44</v>
      </c>
      <c r="J70" s="83" t="s">
        <v>44</v>
      </c>
      <c r="K70" s="84" t="s">
        <v>44</v>
      </c>
      <c r="L70" s="88" t="s">
        <v>30</v>
      </c>
      <c r="M70" s="86" t="s">
        <v>11</v>
      </c>
    </row>
    <row r="71">
      <c r="A71" s="80">
        <v>10.0</v>
      </c>
      <c r="B71" s="83" t="s">
        <v>44</v>
      </c>
      <c r="C71" s="84" t="s">
        <v>44</v>
      </c>
      <c r="D71" s="83" t="s">
        <v>44</v>
      </c>
      <c r="E71" s="84" t="s">
        <v>44</v>
      </c>
      <c r="F71" s="83" t="s">
        <v>44</v>
      </c>
      <c r="G71" s="84" t="s">
        <v>44</v>
      </c>
      <c r="H71" s="85" t="s">
        <v>30</v>
      </c>
      <c r="I71" s="86" t="s">
        <v>15</v>
      </c>
      <c r="J71" s="83" t="s">
        <v>44</v>
      </c>
      <c r="K71" s="84" t="s">
        <v>44</v>
      </c>
      <c r="L71" s="83" t="s">
        <v>44</v>
      </c>
      <c r="M71" s="84" t="s">
        <v>44</v>
      </c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</row>
    <row r="74">
      <c r="A74" s="74" t="s">
        <v>58</v>
      </c>
      <c r="B74" s="75" t="s">
        <v>30</v>
      </c>
      <c r="C74" s="76"/>
      <c r="D74" s="75" t="s">
        <v>31</v>
      </c>
      <c r="E74" s="76"/>
      <c r="F74" s="75" t="s">
        <v>32</v>
      </c>
      <c r="G74" s="76"/>
      <c r="H74" s="75" t="s">
        <v>33</v>
      </c>
      <c r="I74" s="76"/>
      <c r="J74" s="75" t="s">
        <v>34</v>
      </c>
      <c r="K74" s="76"/>
      <c r="L74" s="75" t="s">
        <v>35</v>
      </c>
      <c r="M74" s="76"/>
    </row>
    <row r="75">
      <c r="A75" s="77"/>
      <c r="B75" s="78" t="s">
        <v>55</v>
      </c>
      <c r="C75" s="79" t="s">
        <v>0</v>
      </c>
      <c r="D75" s="78" t="s">
        <v>55</v>
      </c>
      <c r="E75" s="79" t="s">
        <v>0</v>
      </c>
      <c r="F75" s="78" t="s">
        <v>55</v>
      </c>
      <c r="G75" s="79" t="s">
        <v>0</v>
      </c>
      <c r="H75" s="78" t="s">
        <v>55</v>
      </c>
      <c r="I75" s="79" t="s">
        <v>0</v>
      </c>
      <c r="J75" s="78" t="s">
        <v>55</v>
      </c>
      <c r="K75" s="79" t="s">
        <v>0</v>
      </c>
      <c r="L75" s="78" t="s">
        <v>55</v>
      </c>
      <c r="M75" s="79" t="s">
        <v>0</v>
      </c>
    </row>
    <row r="76">
      <c r="A76" s="80">
        <v>1.0</v>
      </c>
      <c r="B76" s="83" t="s">
        <v>44</v>
      </c>
      <c r="C76" s="84" t="s">
        <v>44</v>
      </c>
      <c r="D76" s="83" t="s">
        <v>44</v>
      </c>
      <c r="E76" s="84" t="s">
        <v>44</v>
      </c>
      <c r="F76" s="83" t="s">
        <v>44</v>
      </c>
      <c r="G76" s="84" t="s">
        <v>44</v>
      </c>
      <c r="H76" s="83" t="s">
        <v>44</v>
      </c>
      <c r="I76" s="84" t="s">
        <v>44</v>
      </c>
      <c r="J76" s="83" t="s">
        <v>44</v>
      </c>
      <c r="K76" s="84" t="s">
        <v>44</v>
      </c>
      <c r="L76" s="83" t="s">
        <v>44</v>
      </c>
      <c r="M76" s="84" t="s">
        <v>44</v>
      </c>
    </row>
    <row r="77">
      <c r="A77" s="80">
        <v>2.0</v>
      </c>
      <c r="B77" s="83" t="s">
        <v>44</v>
      </c>
      <c r="C77" s="84" t="s">
        <v>44</v>
      </c>
      <c r="D77" s="83" t="s">
        <v>44</v>
      </c>
      <c r="E77" s="84" t="s">
        <v>44</v>
      </c>
      <c r="F77" s="83" t="s">
        <v>44</v>
      </c>
      <c r="G77" s="84" t="s">
        <v>44</v>
      </c>
      <c r="H77" s="83" t="s">
        <v>44</v>
      </c>
      <c r="I77" s="84" t="s">
        <v>44</v>
      </c>
      <c r="J77" s="83" t="s">
        <v>44</v>
      </c>
      <c r="K77" s="84" t="s">
        <v>44</v>
      </c>
      <c r="L77" s="83" t="s">
        <v>44</v>
      </c>
      <c r="M77" s="84" t="s">
        <v>44</v>
      </c>
    </row>
    <row r="78">
      <c r="A78" s="80">
        <v>3.0</v>
      </c>
      <c r="B78" s="83" t="s">
        <v>44</v>
      </c>
      <c r="C78" s="84" t="s">
        <v>44</v>
      </c>
      <c r="D78" s="83" t="s">
        <v>44</v>
      </c>
      <c r="E78" s="84" t="s">
        <v>44</v>
      </c>
      <c r="F78" s="83" t="s">
        <v>44</v>
      </c>
      <c r="G78" s="84" t="s">
        <v>44</v>
      </c>
      <c r="H78" s="85" t="s">
        <v>30</v>
      </c>
      <c r="I78" s="86" t="s">
        <v>16</v>
      </c>
      <c r="J78" s="83" t="s">
        <v>44</v>
      </c>
      <c r="K78" s="84" t="s">
        <v>44</v>
      </c>
      <c r="L78" s="83" t="s">
        <v>44</v>
      </c>
      <c r="M78" s="84" t="s">
        <v>44</v>
      </c>
    </row>
    <row r="79">
      <c r="A79" s="80">
        <v>4.0</v>
      </c>
      <c r="B79" s="83" t="s">
        <v>44</v>
      </c>
      <c r="C79" s="84" t="s">
        <v>44</v>
      </c>
      <c r="D79" s="83" t="s">
        <v>44</v>
      </c>
      <c r="E79" s="84" t="s">
        <v>44</v>
      </c>
      <c r="F79" s="83" t="s">
        <v>44</v>
      </c>
      <c r="G79" s="84" t="s">
        <v>44</v>
      </c>
      <c r="H79" s="85" t="s">
        <v>30</v>
      </c>
      <c r="I79" s="86" t="s">
        <v>16</v>
      </c>
      <c r="J79" s="85" t="s">
        <v>30</v>
      </c>
      <c r="K79" s="86" t="s">
        <v>8</v>
      </c>
      <c r="L79" s="83" t="s">
        <v>44</v>
      </c>
      <c r="M79" s="84" t="s">
        <v>44</v>
      </c>
    </row>
    <row r="80">
      <c r="A80" s="80">
        <v>5.0</v>
      </c>
      <c r="B80" s="83" t="s">
        <v>44</v>
      </c>
      <c r="C80" s="84" t="s">
        <v>44</v>
      </c>
      <c r="D80" s="83" t="s">
        <v>44</v>
      </c>
      <c r="E80" s="84" t="s">
        <v>44</v>
      </c>
      <c r="F80" s="83" t="s">
        <v>44</v>
      </c>
      <c r="G80" s="84" t="s">
        <v>44</v>
      </c>
      <c r="H80" s="83" t="s">
        <v>44</v>
      </c>
      <c r="I80" s="84" t="s">
        <v>44</v>
      </c>
      <c r="J80" s="83" t="s">
        <v>44</v>
      </c>
      <c r="K80" s="84" t="s">
        <v>44</v>
      </c>
      <c r="L80" s="88" t="s">
        <v>30</v>
      </c>
      <c r="M80" s="86" t="s">
        <v>17</v>
      </c>
    </row>
    <row r="81">
      <c r="A81" s="80">
        <v>6.0</v>
      </c>
      <c r="B81" s="83" t="s">
        <v>44</v>
      </c>
      <c r="C81" s="84" t="s">
        <v>44</v>
      </c>
      <c r="D81" s="83" t="s">
        <v>44</v>
      </c>
      <c r="E81" s="84" t="s">
        <v>44</v>
      </c>
      <c r="F81" s="83" t="s">
        <v>44</v>
      </c>
      <c r="G81" s="84" t="s">
        <v>44</v>
      </c>
      <c r="H81" s="83" t="s">
        <v>44</v>
      </c>
      <c r="I81" s="84" t="s">
        <v>44</v>
      </c>
      <c r="J81" s="83" t="s">
        <v>44</v>
      </c>
      <c r="K81" s="84" t="s">
        <v>44</v>
      </c>
      <c r="L81" s="83" t="s">
        <v>44</v>
      </c>
      <c r="M81" s="84" t="s">
        <v>44</v>
      </c>
    </row>
    <row r="82">
      <c r="A82" s="80">
        <v>7.0</v>
      </c>
      <c r="B82" s="83" t="s">
        <v>44</v>
      </c>
      <c r="C82" s="84" t="s">
        <v>44</v>
      </c>
      <c r="D82" s="83" t="s">
        <v>44</v>
      </c>
      <c r="E82" s="84" t="s">
        <v>44</v>
      </c>
      <c r="F82" s="83" t="s">
        <v>44</v>
      </c>
      <c r="G82" s="84" t="s">
        <v>44</v>
      </c>
      <c r="H82" s="83" t="s">
        <v>44</v>
      </c>
      <c r="I82" s="84" t="s">
        <v>44</v>
      </c>
      <c r="J82" s="83" t="s">
        <v>44</v>
      </c>
      <c r="K82" s="84" t="s">
        <v>44</v>
      </c>
      <c r="L82" s="83" t="s">
        <v>44</v>
      </c>
      <c r="M82" s="84" t="s">
        <v>44</v>
      </c>
    </row>
    <row r="83">
      <c r="A83" s="80">
        <v>8.0</v>
      </c>
      <c r="B83" s="83" t="s">
        <v>44</v>
      </c>
      <c r="C83" s="84" t="s">
        <v>44</v>
      </c>
      <c r="D83" s="83" t="s">
        <v>44</v>
      </c>
      <c r="E83" s="84" t="s">
        <v>44</v>
      </c>
      <c r="F83" s="83" t="s">
        <v>44</v>
      </c>
      <c r="G83" s="84" t="s">
        <v>44</v>
      </c>
      <c r="H83" s="83" t="s">
        <v>44</v>
      </c>
      <c r="I83" s="84" t="s">
        <v>44</v>
      </c>
      <c r="J83" s="83" t="s">
        <v>44</v>
      </c>
      <c r="K83" s="84" t="s">
        <v>44</v>
      </c>
      <c r="L83" s="83" t="s">
        <v>44</v>
      </c>
      <c r="M83" s="84" t="s">
        <v>44</v>
      </c>
    </row>
    <row r="84">
      <c r="A84" s="80">
        <v>9.0</v>
      </c>
      <c r="B84" s="83" t="s">
        <v>44</v>
      </c>
      <c r="C84" s="84" t="s">
        <v>44</v>
      </c>
      <c r="D84" s="85" t="s">
        <v>33</v>
      </c>
      <c r="E84" s="86" t="s">
        <v>13</v>
      </c>
      <c r="F84" s="83" t="s">
        <v>44</v>
      </c>
      <c r="G84" s="84" t="s">
        <v>44</v>
      </c>
      <c r="H84" s="83" t="s">
        <v>44</v>
      </c>
      <c r="I84" s="84" t="s">
        <v>44</v>
      </c>
      <c r="J84" s="83" t="s">
        <v>44</v>
      </c>
      <c r="K84" s="84" t="s">
        <v>44</v>
      </c>
      <c r="L84" s="83" t="s">
        <v>44</v>
      </c>
      <c r="M84" s="84" t="s">
        <v>44</v>
      </c>
    </row>
    <row r="85">
      <c r="A85" s="80">
        <v>10.0</v>
      </c>
      <c r="B85" s="83" t="s">
        <v>44</v>
      </c>
      <c r="C85" s="84" t="s">
        <v>44</v>
      </c>
      <c r="D85" s="83" t="s">
        <v>44</v>
      </c>
      <c r="E85" s="84" t="s">
        <v>44</v>
      </c>
      <c r="F85" s="85" t="s">
        <v>33</v>
      </c>
      <c r="G85" s="86" t="s">
        <v>14</v>
      </c>
      <c r="H85" s="83" t="s">
        <v>44</v>
      </c>
      <c r="I85" s="84" t="s">
        <v>44</v>
      </c>
      <c r="J85" s="83" t="s">
        <v>44</v>
      </c>
      <c r="K85" s="84" t="s">
        <v>44</v>
      </c>
      <c r="L85" s="83" t="s">
        <v>44</v>
      </c>
      <c r="M85" s="84" t="s">
        <v>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62</v>
      </c>
    </row>
    <row r="2">
      <c r="A2" s="2" t="s">
        <v>63</v>
      </c>
    </row>
    <row r="3">
      <c r="A3" s="90" t="s">
        <v>54</v>
      </c>
      <c r="B3" s="91" t="s">
        <v>30</v>
      </c>
      <c r="C3" s="92"/>
      <c r="D3" s="92"/>
      <c r="E3" s="93"/>
      <c r="F3" s="11" t="s">
        <v>31</v>
      </c>
      <c r="G3" s="11"/>
      <c r="H3" s="11"/>
      <c r="I3" s="10"/>
      <c r="J3" s="12" t="s">
        <v>32</v>
      </c>
      <c r="K3" s="11"/>
      <c r="L3" s="11"/>
      <c r="M3" s="93"/>
      <c r="N3" s="92" t="s">
        <v>33</v>
      </c>
      <c r="O3" s="92"/>
      <c r="P3" s="92"/>
      <c r="Q3" s="10"/>
      <c r="R3" s="12" t="s">
        <v>34</v>
      </c>
      <c r="S3" s="11"/>
      <c r="T3" s="11"/>
      <c r="U3" s="93"/>
      <c r="V3" s="11" t="s">
        <v>35</v>
      </c>
      <c r="W3" s="11"/>
      <c r="X3" s="11"/>
      <c r="Y3" s="93"/>
    </row>
    <row r="4">
      <c r="A4" s="94" t="s">
        <v>64</v>
      </c>
      <c r="B4" s="16">
        <v>1.0</v>
      </c>
      <c r="C4" s="17">
        <v>2.0</v>
      </c>
      <c r="D4" s="17">
        <v>3.0</v>
      </c>
      <c r="E4" s="18" t="s">
        <v>65</v>
      </c>
      <c r="F4" s="17">
        <v>1.0</v>
      </c>
      <c r="G4" s="17">
        <v>2.0</v>
      </c>
      <c r="H4" s="17">
        <v>3.0</v>
      </c>
      <c r="I4" s="18" t="s">
        <v>65</v>
      </c>
      <c r="J4" s="16">
        <v>1.0</v>
      </c>
      <c r="K4" s="17">
        <v>2.0</v>
      </c>
      <c r="L4" s="17">
        <v>3.0</v>
      </c>
      <c r="M4" s="18" t="s">
        <v>65</v>
      </c>
      <c r="N4" s="17">
        <v>1.0</v>
      </c>
      <c r="O4" s="17">
        <v>2.0</v>
      </c>
      <c r="P4" s="17">
        <v>3.0</v>
      </c>
      <c r="Q4" s="18" t="s">
        <v>65</v>
      </c>
      <c r="R4" s="16">
        <v>1.0</v>
      </c>
      <c r="S4" s="17">
        <v>2.0</v>
      </c>
      <c r="T4" s="17">
        <v>3.0</v>
      </c>
      <c r="U4" s="18" t="s">
        <v>65</v>
      </c>
      <c r="V4" s="17">
        <v>1.0</v>
      </c>
      <c r="W4" s="17">
        <v>2.0</v>
      </c>
      <c r="X4" s="17">
        <v>3.0</v>
      </c>
      <c r="Y4" s="18" t="s">
        <v>65</v>
      </c>
    </row>
    <row r="5">
      <c r="A5" s="95" t="s">
        <v>66</v>
      </c>
      <c r="B5" s="96">
        <v>7.0</v>
      </c>
      <c r="C5" s="97">
        <v>4.0</v>
      </c>
      <c r="D5" s="97">
        <v>7.0</v>
      </c>
      <c r="E5" s="98">
        <f>AVERAGE(B5:D5)</f>
        <v>6</v>
      </c>
      <c r="F5" s="2">
        <v>3.0</v>
      </c>
      <c r="G5" s="2">
        <v>1.0</v>
      </c>
      <c r="H5" s="2">
        <v>5.0</v>
      </c>
      <c r="I5" s="99">
        <f t="shared" ref="I5:I8" si="1">AVERAGE(F5:H5)</f>
        <v>3</v>
      </c>
      <c r="J5" s="100">
        <v>5.0</v>
      </c>
      <c r="K5" s="2">
        <v>4.0</v>
      </c>
      <c r="L5" s="2">
        <v>2.0</v>
      </c>
      <c r="M5" s="101">
        <f t="shared" ref="M5:M6" si="2">AVERAGE(J5:L5)</f>
        <v>3.666666667</v>
      </c>
      <c r="N5" s="2">
        <v>68.0</v>
      </c>
      <c r="O5" s="2">
        <v>76.0</v>
      </c>
      <c r="P5" s="2">
        <v>71.0</v>
      </c>
      <c r="Q5" s="101">
        <f t="shared" ref="Q5:Q8" si="3">AVERAGE(N5:P5)</f>
        <v>71.66666667</v>
      </c>
      <c r="R5" s="2">
        <v>8.0</v>
      </c>
      <c r="S5" s="2">
        <v>4.0</v>
      </c>
      <c r="T5" s="2">
        <v>2.0</v>
      </c>
      <c r="U5" s="101">
        <f t="shared" ref="U5:U6" si="4">AVERAGE(R5:T5)</f>
        <v>4.666666667</v>
      </c>
      <c r="V5" s="2">
        <v>49.0</v>
      </c>
      <c r="W5" s="2">
        <v>43.0</v>
      </c>
      <c r="X5" s="2">
        <v>43.0</v>
      </c>
      <c r="Y5" s="101">
        <f t="shared" ref="Y5:Y8" si="5">AVERAGE(V5:X5)</f>
        <v>45</v>
      </c>
    </row>
    <row r="6">
      <c r="A6" s="95" t="s">
        <v>30</v>
      </c>
      <c r="B6" s="102"/>
      <c r="C6" s="103"/>
      <c r="D6" s="103"/>
      <c r="E6" s="104"/>
      <c r="F6" s="2">
        <v>30.0</v>
      </c>
      <c r="G6" s="2">
        <v>27.0</v>
      </c>
      <c r="H6" s="2">
        <v>26.0</v>
      </c>
      <c r="I6" s="99">
        <f t="shared" si="1"/>
        <v>27.66666667</v>
      </c>
      <c r="J6" s="100">
        <v>27.0</v>
      </c>
      <c r="K6" s="2">
        <v>26.0</v>
      </c>
      <c r="L6" s="2">
        <v>24.0</v>
      </c>
      <c r="M6" s="101">
        <f t="shared" si="2"/>
        <v>25.66666667</v>
      </c>
      <c r="N6" s="2">
        <v>111.0</v>
      </c>
      <c r="O6" s="2">
        <v>116.0</v>
      </c>
      <c r="P6" s="2">
        <v>99.0</v>
      </c>
      <c r="Q6" s="101">
        <f t="shared" si="3"/>
        <v>108.6666667</v>
      </c>
      <c r="R6" s="2">
        <v>33.0</v>
      </c>
      <c r="S6" s="2">
        <v>37.0</v>
      </c>
      <c r="T6" s="2">
        <v>34.0</v>
      </c>
      <c r="U6" s="101">
        <f t="shared" si="4"/>
        <v>34.66666667</v>
      </c>
      <c r="V6" s="2">
        <v>70.0</v>
      </c>
      <c r="W6" s="2">
        <v>73.0</v>
      </c>
      <c r="X6" s="2">
        <v>63.0</v>
      </c>
      <c r="Y6" s="101">
        <f t="shared" si="5"/>
        <v>68.66666667</v>
      </c>
    </row>
    <row r="7">
      <c r="A7" s="95" t="s">
        <v>67</v>
      </c>
      <c r="B7" s="102">
        <v>6.0</v>
      </c>
      <c r="C7" s="103">
        <v>4.0</v>
      </c>
      <c r="D7" s="103">
        <v>4.0</v>
      </c>
      <c r="E7" s="104">
        <f t="shared" ref="E7:E9" si="6">AVERAGE(B7:D7)</f>
        <v>4.666666667</v>
      </c>
      <c r="F7" s="2">
        <v>1.0</v>
      </c>
      <c r="G7" s="2">
        <v>1.0</v>
      </c>
      <c r="H7" s="2">
        <v>1.0</v>
      </c>
      <c r="I7" s="99">
        <f t="shared" si="1"/>
        <v>1</v>
      </c>
      <c r="J7" s="100"/>
      <c r="M7" s="101"/>
      <c r="N7" s="2">
        <v>9.0</v>
      </c>
      <c r="O7" s="2">
        <v>5.0</v>
      </c>
      <c r="P7" s="2">
        <v>5.0</v>
      </c>
      <c r="Q7" s="99">
        <f t="shared" si="3"/>
        <v>6.333333333</v>
      </c>
      <c r="R7" s="100"/>
      <c r="U7" s="101"/>
      <c r="V7" s="2">
        <v>1.0</v>
      </c>
      <c r="W7" s="2">
        <v>4.0</v>
      </c>
      <c r="X7" s="2">
        <v>2.0</v>
      </c>
      <c r="Y7" s="101">
        <f t="shared" si="5"/>
        <v>2.333333333</v>
      </c>
    </row>
    <row r="8">
      <c r="A8" s="95" t="s">
        <v>33</v>
      </c>
      <c r="B8" s="102">
        <v>79.0</v>
      </c>
      <c r="C8" s="103">
        <v>77.0</v>
      </c>
      <c r="D8" s="103">
        <v>81.0</v>
      </c>
      <c r="E8" s="104">
        <f t="shared" si="6"/>
        <v>79</v>
      </c>
      <c r="F8" s="2">
        <v>10.0</v>
      </c>
      <c r="G8" s="2">
        <v>8.0</v>
      </c>
      <c r="H8" s="2">
        <v>11.0</v>
      </c>
      <c r="I8" s="99">
        <f t="shared" si="1"/>
        <v>9.666666667</v>
      </c>
      <c r="J8" s="100">
        <v>8.0</v>
      </c>
      <c r="K8" s="2">
        <v>4.0</v>
      </c>
      <c r="L8" s="2">
        <v>9.0</v>
      </c>
      <c r="M8" s="101">
        <f>AVERAGE(J8:L8)</f>
        <v>7</v>
      </c>
      <c r="N8" s="2">
        <v>0.0</v>
      </c>
      <c r="O8" s="2">
        <v>0.0</v>
      </c>
      <c r="P8" s="2">
        <v>3.0</v>
      </c>
      <c r="Q8" s="99">
        <f t="shared" si="3"/>
        <v>1</v>
      </c>
      <c r="R8" s="105"/>
      <c r="U8" s="106"/>
      <c r="V8" s="2">
        <v>6.0</v>
      </c>
      <c r="W8" s="2">
        <v>6.0</v>
      </c>
      <c r="X8" s="2">
        <v>6.0</v>
      </c>
      <c r="Y8" s="101">
        <f t="shared" si="5"/>
        <v>6</v>
      </c>
    </row>
    <row r="9">
      <c r="A9" s="107" t="s">
        <v>68</v>
      </c>
      <c r="B9" s="108">
        <v>0.0</v>
      </c>
      <c r="C9" s="109">
        <v>1.0</v>
      </c>
      <c r="D9" s="109">
        <v>0.0</v>
      </c>
      <c r="E9" s="110">
        <f t="shared" si="6"/>
        <v>0.3333333333</v>
      </c>
      <c r="F9" s="111"/>
      <c r="G9" s="111"/>
      <c r="H9" s="111"/>
      <c r="I9" s="112"/>
      <c r="J9" s="113"/>
      <c r="K9" s="114"/>
      <c r="L9" s="114"/>
      <c r="M9" s="115"/>
      <c r="N9" s="114"/>
      <c r="O9" s="114"/>
      <c r="P9" s="111"/>
      <c r="Q9" s="114"/>
      <c r="R9" s="113"/>
      <c r="S9" s="114"/>
      <c r="T9" s="114"/>
      <c r="U9" s="115"/>
      <c r="V9" s="111"/>
      <c r="W9" s="111"/>
      <c r="X9" s="111"/>
      <c r="Y9" s="116"/>
    </row>
    <row r="11">
      <c r="A11" s="90" t="s">
        <v>58</v>
      </c>
      <c r="B11" s="91" t="s">
        <v>30</v>
      </c>
      <c r="C11" s="92"/>
      <c r="D11" s="92"/>
      <c r="E11" s="93"/>
      <c r="F11" s="11" t="s">
        <v>31</v>
      </c>
      <c r="G11" s="11"/>
      <c r="H11" s="11"/>
      <c r="I11" s="10"/>
      <c r="J11" s="12" t="s">
        <v>32</v>
      </c>
      <c r="K11" s="11"/>
      <c r="L11" s="11"/>
      <c r="M11" s="93"/>
      <c r="N11" s="92" t="s">
        <v>33</v>
      </c>
      <c r="O11" s="92"/>
      <c r="P11" s="92"/>
      <c r="Q11" s="10"/>
      <c r="R11" s="12" t="s">
        <v>34</v>
      </c>
      <c r="S11" s="11"/>
      <c r="T11" s="11"/>
      <c r="U11" s="93"/>
      <c r="V11" s="11" t="s">
        <v>35</v>
      </c>
      <c r="W11" s="11"/>
      <c r="X11" s="11"/>
      <c r="Y11" s="93"/>
    </row>
    <row r="12">
      <c r="A12" s="94" t="s">
        <v>64</v>
      </c>
      <c r="B12" s="16">
        <v>1.0</v>
      </c>
      <c r="C12" s="17">
        <v>2.0</v>
      </c>
      <c r="D12" s="17">
        <v>3.0</v>
      </c>
      <c r="E12" s="18" t="s">
        <v>65</v>
      </c>
      <c r="F12" s="17">
        <v>1.0</v>
      </c>
      <c r="G12" s="17">
        <v>2.0</v>
      </c>
      <c r="H12" s="17">
        <v>3.0</v>
      </c>
      <c r="I12" s="18" t="s">
        <v>65</v>
      </c>
      <c r="J12" s="16">
        <v>1.0</v>
      </c>
      <c r="K12" s="17">
        <v>2.0</v>
      </c>
      <c r="L12" s="17">
        <v>3.0</v>
      </c>
      <c r="M12" s="18" t="s">
        <v>65</v>
      </c>
      <c r="N12" s="17">
        <v>1.0</v>
      </c>
      <c r="O12" s="17">
        <v>2.0</v>
      </c>
      <c r="P12" s="17">
        <v>3.0</v>
      </c>
      <c r="Q12" s="18" t="s">
        <v>65</v>
      </c>
      <c r="R12" s="16">
        <v>1.0</v>
      </c>
      <c r="S12" s="17">
        <v>2.0</v>
      </c>
      <c r="T12" s="17">
        <v>3.0</v>
      </c>
      <c r="U12" s="18" t="s">
        <v>65</v>
      </c>
      <c r="V12" s="17">
        <v>1.0</v>
      </c>
      <c r="W12" s="17">
        <v>2.0</v>
      </c>
      <c r="X12" s="17">
        <v>3.0</v>
      </c>
      <c r="Y12" s="18" t="s">
        <v>65</v>
      </c>
    </row>
    <row r="13">
      <c r="A13" s="95" t="s">
        <v>66</v>
      </c>
      <c r="B13" s="100">
        <v>7.0</v>
      </c>
      <c r="C13" s="2">
        <v>9.0</v>
      </c>
      <c r="D13" s="2">
        <v>1.0</v>
      </c>
      <c r="E13" s="101">
        <f>AVERAGE(B13:D13)</f>
        <v>5.666666667</v>
      </c>
      <c r="F13" s="2">
        <v>6.0</v>
      </c>
      <c r="G13" s="2">
        <v>5.0</v>
      </c>
      <c r="H13" s="2">
        <v>3.0</v>
      </c>
      <c r="I13" s="99">
        <f t="shared" ref="I13:I14" si="7">AVERAGE(F13:H13)</f>
        <v>4.666666667</v>
      </c>
      <c r="J13" s="100">
        <v>8.0</v>
      </c>
      <c r="K13" s="2">
        <v>4.0</v>
      </c>
      <c r="L13" s="2">
        <v>4.0</v>
      </c>
      <c r="M13" s="101">
        <f t="shared" ref="M13:M16" si="8">AVERAGE(J13:L13)</f>
        <v>5.333333333</v>
      </c>
      <c r="N13" s="2">
        <v>43.0</v>
      </c>
      <c r="O13" s="2">
        <v>40.0</v>
      </c>
      <c r="P13" s="2">
        <v>35.0</v>
      </c>
      <c r="Q13" s="99">
        <f t="shared" ref="Q13:Q16" si="9">AVERAGE(N13:P13)</f>
        <v>39.33333333</v>
      </c>
      <c r="R13" s="100">
        <v>7.0</v>
      </c>
      <c r="S13" s="2">
        <v>5.0</v>
      </c>
      <c r="T13" s="2">
        <v>5.0</v>
      </c>
      <c r="U13" s="101">
        <f t="shared" ref="U13:U14" si="10">AVERAGE(R13:T13)</f>
        <v>5.666666667</v>
      </c>
      <c r="V13" s="2">
        <v>29.0</v>
      </c>
      <c r="W13" s="2">
        <v>24.0</v>
      </c>
      <c r="X13" s="2">
        <v>33.0</v>
      </c>
      <c r="Y13" s="101">
        <f t="shared" ref="Y13:Y16" si="11">AVERAGE(V13:X13)</f>
        <v>28.66666667</v>
      </c>
    </row>
    <row r="14">
      <c r="A14" s="95" t="s">
        <v>30</v>
      </c>
      <c r="B14" s="100"/>
      <c r="E14" s="101"/>
      <c r="F14" s="2">
        <v>1.0</v>
      </c>
      <c r="G14" s="2">
        <v>2.0</v>
      </c>
      <c r="H14" s="2">
        <v>3.0</v>
      </c>
      <c r="I14" s="99">
        <f t="shared" si="7"/>
        <v>2</v>
      </c>
      <c r="J14" s="100">
        <v>8.0</v>
      </c>
      <c r="K14" s="2">
        <v>6.0</v>
      </c>
      <c r="L14" s="2">
        <v>5.0</v>
      </c>
      <c r="M14" s="101">
        <f t="shared" si="8"/>
        <v>6.333333333</v>
      </c>
      <c r="N14" s="2">
        <v>35.0</v>
      </c>
      <c r="O14" s="2">
        <v>34.0</v>
      </c>
      <c r="P14" s="2">
        <v>25.0</v>
      </c>
      <c r="Q14" s="99">
        <f t="shared" si="9"/>
        <v>31.33333333</v>
      </c>
      <c r="R14" s="100">
        <v>5.0</v>
      </c>
      <c r="S14" s="2">
        <v>3.0</v>
      </c>
      <c r="T14" s="2">
        <v>3.0</v>
      </c>
      <c r="U14" s="101">
        <f t="shared" si="10"/>
        <v>3.666666667</v>
      </c>
      <c r="V14" s="2">
        <v>24.0</v>
      </c>
      <c r="W14" s="2">
        <v>18.0</v>
      </c>
      <c r="X14" s="2">
        <v>9.0</v>
      </c>
      <c r="Y14" s="101">
        <f t="shared" si="11"/>
        <v>17</v>
      </c>
    </row>
    <row r="15">
      <c r="A15" s="95" t="s">
        <v>67</v>
      </c>
      <c r="B15" s="100">
        <v>2.0</v>
      </c>
      <c r="C15" s="2">
        <v>1.0</v>
      </c>
      <c r="D15" s="2">
        <v>1.0</v>
      </c>
      <c r="E15" s="101">
        <f t="shared" ref="E15:E17" si="12">AVERAGE(B15:D15)</f>
        <v>1.333333333</v>
      </c>
      <c r="I15" s="99"/>
      <c r="J15" s="100">
        <v>2.0</v>
      </c>
      <c r="K15" s="2">
        <v>0.0</v>
      </c>
      <c r="L15" s="2">
        <v>0.0</v>
      </c>
      <c r="M15" s="101">
        <f t="shared" si="8"/>
        <v>0.6666666667</v>
      </c>
      <c r="N15" s="2">
        <v>1.0</v>
      </c>
      <c r="O15" s="2">
        <v>2.0</v>
      </c>
      <c r="P15" s="2">
        <v>1.0</v>
      </c>
      <c r="Q15" s="99">
        <f t="shared" si="9"/>
        <v>1.333333333</v>
      </c>
      <c r="R15" s="100"/>
      <c r="U15" s="101"/>
      <c r="V15" s="2">
        <v>0.0</v>
      </c>
      <c r="W15" s="2">
        <v>0.0</v>
      </c>
      <c r="X15" s="2">
        <v>1.0</v>
      </c>
      <c r="Y15" s="101">
        <f t="shared" si="11"/>
        <v>0.3333333333</v>
      </c>
    </row>
    <row r="16">
      <c r="A16" s="95" t="s">
        <v>33</v>
      </c>
      <c r="B16" s="100">
        <v>22.0</v>
      </c>
      <c r="C16" s="2">
        <v>12.0</v>
      </c>
      <c r="D16" s="2">
        <v>18.0</v>
      </c>
      <c r="E16" s="101">
        <f t="shared" si="12"/>
        <v>17.33333333</v>
      </c>
      <c r="F16" s="2">
        <v>0.0</v>
      </c>
      <c r="G16" s="2">
        <v>0.0</v>
      </c>
      <c r="H16" s="2">
        <v>1.0</v>
      </c>
      <c r="I16" s="99">
        <f>AVERAGE(F16:H16)</f>
        <v>0.3333333333</v>
      </c>
      <c r="J16" s="100">
        <v>9.0</v>
      </c>
      <c r="K16" s="2">
        <v>7.0</v>
      </c>
      <c r="L16" s="2">
        <v>6.0</v>
      </c>
      <c r="M16" s="101">
        <f t="shared" si="8"/>
        <v>7.333333333</v>
      </c>
      <c r="N16" s="2">
        <v>1.0</v>
      </c>
      <c r="O16" s="2">
        <v>0.0</v>
      </c>
      <c r="P16" s="2">
        <v>1.0</v>
      </c>
      <c r="Q16" s="99">
        <f t="shared" si="9"/>
        <v>0.6666666667</v>
      </c>
      <c r="R16" s="105"/>
      <c r="U16" s="106"/>
      <c r="V16" s="2">
        <v>2.0</v>
      </c>
      <c r="W16" s="2">
        <v>1.0</v>
      </c>
      <c r="X16" s="2">
        <v>3.0</v>
      </c>
      <c r="Y16" s="101">
        <f t="shared" si="11"/>
        <v>2</v>
      </c>
    </row>
    <row r="17">
      <c r="A17" s="107" t="s">
        <v>68</v>
      </c>
      <c r="B17" s="117">
        <v>0.0</v>
      </c>
      <c r="C17" s="111">
        <v>1.0</v>
      </c>
      <c r="D17" s="111">
        <v>1.0</v>
      </c>
      <c r="E17" s="116">
        <f t="shared" si="12"/>
        <v>0.6666666667</v>
      </c>
      <c r="F17" s="111"/>
      <c r="G17" s="111"/>
      <c r="H17" s="111"/>
      <c r="I17" s="112"/>
      <c r="J17" s="113"/>
      <c r="K17" s="114"/>
      <c r="L17" s="114"/>
      <c r="M17" s="115"/>
      <c r="N17" s="114"/>
      <c r="O17" s="114"/>
      <c r="P17" s="114"/>
      <c r="Q17" s="114"/>
      <c r="R17" s="113"/>
      <c r="S17" s="114"/>
      <c r="T17" s="114"/>
      <c r="U17" s="115"/>
      <c r="V17" s="111"/>
      <c r="W17" s="111"/>
      <c r="X17" s="111"/>
      <c r="Y17" s="116"/>
    </row>
    <row r="21">
      <c r="A21" s="3" t="s">
        <v>69</v>
      </c>
    </row>
    <row r="22">
      <c r="A22" s="2" t="s">
        <v>63</v>
      </c>
    </row>
    <row r="23">
      <c r="A23" s="118" t="s">
        <v>54</v>
      </c>
      <c r="B23" s="91" t="s">
        <v>30</v>
      </c>
      <c r="C23" s="92"/>
      <c r="D23" s="91" t="s">
        <v>31</v>
      </c>
      <c r="E23" s="92"/>
      <c r="F23" s="91" t="s">
        <v>32</v>
      </c>
      <c r="G23" s="92"/>
      <c r="H23" s="91" t="s">
        <v>33</v>
      </c>
      <c r="I23" s="92"/>
      <c r="J23" s="91" t="s">
        <v>34</v>
      </c>
      <c r="K23" s="92"/>
      <c r="L23" s="91" t="s">
        <v>35</v>
      </c>
      <c r="M23" s="92"/>
      <c r="P23" s="91" t="s">
        <v>70</v>
      </c>
      <c r="Q23" s="92"/>
      <c r="R23" s="92"/>
      <c r="S23" s="92"/>
      <c r="T23" s="92"/>
    </row>
    <row r="24">
      <c r="A24" s="119"/>
      <c r="B24" s="16" t="s">
        <v>39</v>
      </c>
      <c r="C24" s="17" t="s">
        <v>65</v>
      </c>
      <c r="D24" s="16" t="s">
        <v>39</v>
      </c>
      <c r="E24" s="17" t="s">
        <v>65</v>
      </c>
      <c r="F24" s="16" t="s">
        <v>39</v>
      </c>
      <c r="G24" s="17" t="s">
        <v>65</v>
      </c>
      <c r="H24" s="16" t="s">
        <v>39</v>
      </c>
      <c r="I24" s="17" t="s">
        <v>65</v>
      </c>
      <c r="J24" s="16" t="s">
        <v>39</v>
      </c>
      <c r="K24" s="17" t="s">
        <v>65</v>
      </c>
      <c r="L24" s="16" t="s">
        <v>39</v>
      </c>
      <c r="M24" s="17" t="s">
        <v>65</v>
      </c>
      <c r="P24" s="16" t="s">
        <v>39</v>
      </c>
      <c r="Q24" s="17" t="s">
        <v>71</v>
      </c>
      <c r="R24" s="17" t="s">
        <v>72</v>
      </c>
      <c r="S24" s="17" t="s">
        <v>73</v>
      </c>
      <c r="T24" s="18" t="s">
        <v>74</v>
      </c>
    </row>
    <row r="25">
      <c r="A25" s="119"/>
      <c r="B25" s="120" t="s">
        <v>5</v>
      </c>
      <c r="C25" s="121">
        <v>4.0</v>
      </c>
      <c r="D25" s="120" t="s">
        <v>5</v>
      </c>
      <c r="E25" s="121">
        <v>5.33333333333333</v>
      </c>
      <c r="F25" s="120" t="s">
        <v>5</v>
      </c>
      <c r="G25" s="121">
        <v>2.33333333333333</v>
      </c>
      <c r="H25" s="120" t="s">
        <v>5</v>
      </c>
      <c r="I25" s="121">
        <v>25.0</v>
      </c>
      <c r="J25" s="120" t="s">
        <v>5</v>
      </c>
      <c r="K25" s="121">
        <v>4.0</v>
      </c>
      <c r="L25" s="120" t="s">
        <v>5</v>
      </c>
      <c r="M25" s="121">
        <v>14.0</v>
      </c>
      <c r="N25" s="99"/>
      <c r="O25" s="2">
        <v>25.0</v>
      </c>
      <c r="P25" s="122" t="s">
        <v>5</v>
      </c>
      <c r="Q25" s="123">
        <f t="shared" ref="Q25:Q47" si="13">SUM(C25,E25,G25,I25,K25,M25)/6</f>
        <v>9.111111111</v>
      </c>
      <c r="R25" s="124">
        <f t="shared" ref="R25:R49" si="14">Q25/O25</f>
        <v>0.3644444444</v>
      </c>
      <c r="S25" s="125">
        <f t="shared" ref="S25:S34" si="15">SUM(C50,E50,G50,I50,K50,M50)/6</f>
        <v>2.277777778</v>
      </c>
      <c r="T25" s="126">
        <f t="shared" ref="T25:T49" si="16">S25/O25</f>
        <v>0.09111111111</v>
      </c>
    </row>
    <row r="26">
      <c r="A26" s="119"/>
      <c r="B26" s="35" t="s">
        <v>11</v>
      </c>
      <c r="C26" s="127"/>
      <c r="D26" s="35" t="s">
        <v>11</v>
      </c>
      <c r="E26" s="127"/>
      <c r="F26" s="35" t="s">
        <v>11</v>
      </c>
      <c r="G26" s="127"/>
      <c r="H26" s="35" t="s">
        <v>11</v>
      </c>
      <c r="I26" s="127"/>
      <c r="J26" s="35" t="s">
        <v>11</v>
      </c>
      <c r="K26" s="127"/>
      <c r="L26" s="35" t="s">
        <v>11</v>
      </c>
      <c r="M26" s="127"/>
      <c r="N26" s="99"/>
      <c r="O26" s="2">
        <v>19.0</v>
      </c>
      <c r="P26" s="122" t="s">
        <v>11</v>
      </c>
      <c r="Q26" s="123">
        <f t="shared" si="13"/>
        <v>0</v>
      </c>
      <c r="R26" s="124">
        <f t="shared" si="14"/>
        <v>0</v>
      </c>
      <c r="S26" s="125">
        <f t="shared" si="15"/>
        <v>2.388888889</v>
      </c>
      <c r="T26" s="126">
        <f t="shared" si="16"/>
        <v>0.1257309942</v>
      </c>
    </row>
    <row r="27">
      <c r="A27" s="119"/>
      <c r="B27" s="35" t="s">
        <v>7</v>
      </c>
      <c r="C27" s="127">
        <v>13.0</v>
      </c>
      <c r="D27" s="35" t="s">
        <v>7</v>
      </c>
      <c r="E27" s="127">
        <v>3.33333333333333</v>
      </c>
      <c r="F27" s="35" t="s">
        <v>7</v>
      </c>
      <c r="G27" s="127">
        <v>3.0</v>
      </c>
      <c r="H27" s="35" t="s">
        <v>7</v>
      </c>
      <c r="I27" s="127">
        <v>7.66666666666667</v>
      </c>
      <c r="J27" s="35" t="s">
        <v>7</v>
      </c>
      <c r="K27" s="127">
        <v>1.33333333333333</v>
      </c>
      <c r="L27" s="35" t="s">
        <v>7</v>
      </c>
      <c r="M27" s="127">
        <v>9.66</v>
      </c>
      <c r="N27" s="128"/>
      <c r="O27" s="2">
        <v>24.0</v>
      </c>
      <c r="P27" s="122" t="s">
        <v>7</v>
      </c>
      <c r="Q27" s="123">
        <f t="shared" si="13"/>
        <v>6.332222222</v>
      </c>
      <c r="R27" s="124">
        <f t="shared" si="14"/>
        <v>0.2638425926</v>
      </c>
      <c r="S27" s="125">
        <f t="shared" si="15"/>
        <v>1.722222222</v>
      </c>
      <c r="T27" s="126">
        <f t="shared" si="16"/>
        <v>0.07175925926</v>
      </c>
    </row>
    <row r="28">
      <c r="A28" s="119"/>
      <c r="B28" s="35" t="s">
        <v>8</v>
      </c>
      <c r="C28" s="127">
        <v>1.33333333333333</v>
      </c>
      <c r="D28" s="35" t="s">
        <v>8</v>
      </c>
      <c r="E28" s="127"/>
      <c r="F28" s="35" t="s">
        <v>8</v>
      </c>
      <c r="G28" s="127">
        <v>1.33333333333333</v>
      </c>
      <c r="H28" s="35" t="s">
        <v>8</v>
      </c>
      <c r="I28" s="127">
        <v>4.66666666666667</v>
      </c>
      <c r="J28" s="35" t="s">
        <v>8</v>
      </c>
      <c r="K28" s="127">
        <v>1.33333333333333</v>
      </c>
      <c r="L28" s="35" t="s">
        <v>8</v>
      </c>
      <c r="M28" s="127">
        <v>2.0</v>
      </c>
      <c r="N28" s="128"/>
      <c r="O28" s="2">
        <v>22.0</v>
      </c>
      <c r="P28" s="122" t="s">
        <v>8</v>
      </c>
      <c r="Q28" s="123">
        <f t="shared" si="13"/>
        <v>1.777777778</v>
      </c>
      <c r="R28" s="124">
        <f t="shared" si="14"/>
        <v>0.08080808081</v>
      </c>
      <c r="S28" s="125">
        <f t="shared" si="15"/>
        <v>1.666666667</v>
      </c>
      <c r="T28" s="126">
        <f t="shared" si="16"/>
        <v>0.07575757576</v>
      </c>
    </row>
    <row r="29">
      <c r="A29" s="119"/>
      <c r="B29" s="35" t="s">
        <v>21</v>
      </c>
      <c r="C29" s="37"/>
      <c r="D29" s="35" t="s">
        <v>21</v>
      </c>
      <c r="E29" s="37"/>
      <c r="F29" s="35" t="s">
        <v>21</v>
      </c>
      <c r="G29" s="36"/>
      <c r="H29" s="35" t="s">
        <v>21</v>
      </c>
      <c r="I29" s="127"/>
      <c r="J29" s="36" t="s">
        <v>21</v>
      </c>
      <c r="K29" s="36"/>
      <c r="L29" s="35" t="s">
        <v>21</v>
      </c>
      <c r="M29" s="37"/>
      <c r="N29" s="128"/>
      <c r="O29" s="2">
        <v>1.0</v>
      </c>
      <c r="P29" s="122" t="s">
        <v>21</v>
      </c>
      <c r="Q29" s="123">
        <f t="shared" si="13"/>
        <v>0</v>
      </c>
      <c r="R29" s="124">
        <f t="shared" si="14"/>
        <v>0</v>
      </c>
      <c r="S29" s="125">
        <f t="shared" si="15"/>
        <v>0.2777777778</v>
      </c>
      <c r="T29" s="126">
        <f t="shared" si="16"/>
        <v>0.2777777778</v>
      </c>
    </row>
    <row r="30">
      <c r="A30" s="119"/>
      <c r="B30" s="35" t="s">
        <v>20</v>
      </c>
      <c r="C30" s="37"/>
      <c r="D30" s="35" t="s">
        <v>20</v>
      </c>
      <c r="E30" s="127"/>
      <c r="F30" s="35" t="s">
        <v>20</v>
      </c>
      <c r="G30" s="36"/>
      <c r="H30" s="35" t="s">
        <v>20</v>
      </c>
      <c r="I30" s="127"/>
      <c r="J30" s="35" t="s">
        <v>20</v>
      </c>
      <c r="K30" s="127"/>
      <c r="L30" s="35" t="s">
        <v>20</v>
      </c>
      <c r="M30" s="127"/>
      <c r="N30" s="99"/>
      <c r="O30" s="2">
        <v>2.0</v>
      </c>
      <c r="P30" s="122" t="s">
        <v>20</v>
      </c>
      <c r="Q30" s="123">
        <f t="shared" si="13"/>
        <v>0</v>
      </c>
      <c r="R30" s="124">
        <f t="shared" si="14"/>
        <v>0</v>
      </c>
      <c r="S30" s="125">
        <f t="shared" si="15"/>
        <v>0.05555555556</v>
      </c>
      <c r="T30" s="126">
        <f t="shared" si="16"/>
        <v>0.02777777778</v>
      </c>
    </row>
    <row r="31">
      <c r="A31" s="119"/>
      <c r="B31" s="35" t="s">
        <v>13</v>
      </c>
      <c r="C31" s="127">
        <v>7.33333333333333</v>
      </c>
      <c r="D31" s="35" t="s">
        <v>13</v>
      </c>
      <c r="E31" s="127">
        <v>4.33333333333333</v>
      </c>
      <c r="F31" s="35" t="s">
        <v>13</v>
      </c>
      <c r="G31" s="36">
        <v>3.0</v>
      </c>
      <c r="H31" s="35" t="s">
        <v>13</v>
      </c>
      <c r="I31" s="127">
        <v>15.6666666666667</v>
      </c>
      <c r="J31" s="35" t="s">
        <v>13</v>
      </c>
      <c r="K31" s="127">
        <v>5.66666666666667</v>
      </c>
      <c r="L31" s="35" t="s">
        <v>13</v>
      </c>
      <c r="M31" s="127">
        <v>8.33</v>
      </c>
      <c r="N31" s="99"/>
      <c r="O31" s="2">
        <v>13.0</v>
      </c>
      <c r="P31" s="122" t="s">
        <v>13</v>
      </c>
      <c r="Q31" s="123">
        <f t="shared" si="13"/>
        <v>7.388333333</v>
      </c>
      <c r="R31" s="124">
        <f t="shared" si="14"/>
        <v>0.5683333333</v>
      </c>
      <c r="S31" s="125">
        <f t="shared" si="15"/>
        <v>1.111111111</v>
      </c>
      <c r="T31" s="126">
        <f t="shared" si="16"/>
        <v>0.08547008547</v>
      </c>
    </row>
    <row r="32">
      <c r="A32" s="119"/>
      <c r="B32" s="35" t="s">
        <v>14</v>
      </c>
      <c r="C32" s="127">
        <v>8.33333333333333</v>
      </c>
      <c r="D32" s="35" t="s">
        <v>14</v>
      </c>
      <c r="E32" s="127">
        <v>1.0</v>
      </c>
      <c r="F32" s="35" t="s">
        <v>14</v>
      </c>
      <c r="G32" s="36">
        <v>2.66666666666667</v>
      </c>
      <c r="H32" s="35" t="s">
        <v>14</v>
      </c>
      <c r="I32" s="127">
        <v>23.0</v>
      </c>
      <c r="J32" s="36" t="s">
        <v>14</v>
      </c>
      <c r="K32" s="36">
        <v>4.66666666666667</v>
      </c>
      <c r="L32" s="35" t="s">
        <v>14</v>
      </c>
      <c r="M32" s="127">
        <v>12.33</v>
      </c>
      <c r="N32" s="99"/>
      <c r="O32" s="2">
        <v>11.0</v>
      </c>
      <c r="P32" s="122" t="s">
        <v>14</v>
      </c>
      <c r="Q32" s="123">
        <f t="shared" si="13"/>
        <v>8.666111111</v>
      </c>
      <c r="R32" s="124">
        <f t="shared" si="14"/>
        <v>0.7878282828</v>
      </c>
      <c r="S32" s="125">
        <f t="shared" si="15"/>
        <v>1</v>
      </c>
      <c r="T32" s="126">
        <f t="shared" si="16"/>
        <v>0.09090909091</v>
      </c>
    </row>
    <row r="33">
      <c r="A33" s="119"/>
      <c r="B33" s="35" t="s">
        <v>2</v>
      </c>
      <c r="C33" s="127">
        <v>11.3333333333333</v>
      </c>
      <c r="D33" s="35" t="s">
        <v>2</v>
      </c>
      <c r="E33" s="127">
        <v>4.0</v>
      </c>
      <c r="F33" s="35" t="s">
        <v>2</v>
      </c>
      <c r="G33" s="127">
        <v>2.66666666666667</v>
      </c>
      <c r="H33" s="35" t="s">
        <v>2</v>
      </c>
      <c r="I33" s="127">
        <v>11.0</v>
      </c>
      <c r="J33" s="36" t="s">
        <v>2</v>
      </c>
      <c r="K33" s="36">
        <v>3.66666666666667</v>
      </c>
      <c r="L33" s="35" t="s">
        <v>2</v>
      </c>
      <c r="M33" s="127">
        <v>10.0</v>
      </c>
      <c r="N33" s="99"/>
      <c r="O33" s="2">
        <v>31.0</v>
      </c>
      <c r="P33" s="122" t="s">
        <v>2</v>
      </c>
      <c r="Q33" s="123">
        <f t="shared" si="13"/>
        <v>7.111111111</v>
      </c>
      <c r="R33" s="124">
        <f t="shared" si="14"/>
        <v>0.229390681</v>
      </c>
      <c r="S33" s="125">
        <f t="shared" si="15"/>
        <v>1.277777778</v>
      </c>
      <c r="T33" s="126">
        <f t="shared" si="16"/>
        <v>0.04121863799</v>
      </c>
    </row>
    <row r="34">
      <c r="A34" s="119"/>
      <c r="B34" s="35" t="s">
        <v>22</v>
      </c>
      <c r="C34" s="127"/>
      <c r="D34" s="35" t="s">
        <v>22</v>
      </c>
      <c r="E34" s="37"/>
      <c r="F34" s="35" t="s">
        <v>22</v>
      </c>
      <c r="G34" s="36"/>
      <c r="H34" s="35" t="s">
        <v>22</v>
      </c>
      <c r="I34" s="127"/>
      <c r="J34" s="36" t="s">
        <v>22</v>
      </c>
      <c r="K34" s="36"/>
      <c r="L34" s="35" t="s">
        <v>22</v>
      </c>
      <c r="M34" s="37"/>
      <c r="N34" s="99"/>
      <c r="O34" s="2">
        <v>1.0</v>
      </c>
      <c r="P34" s="122" t="s">
        <v>22</v>
      </c>
      <c r="Q34" s="123">
        <f t="shared" si="13"/>
        <v>0</v>
      </c>
      <c r="R34" s="124">
        <f t="shared" si="14"/>
        <v>0</v>
      </c>
      <c r="S34" s="125">
        <f t="shared" si="15"/>
        <v>0.3333333333</v>
      </c>
      <c r="T34" s="126">
        <f t="shared" si="16"/>
        <v>0.3333333333</v>
      </c>
    </row>
    <row r="35">
      <c r="A35" s="119"/>
      <c r="B35" s="35" t="s">
        <v>24</v>
      </c>
      <c r="C35" s="37"/>
      <c r="D35" s="35" t="s">
        <v>24</v>
      </c>
      <c r="E35" s="37"/>
      <c r="F35" s="35" t="s">
        <v>24</v>
      </c>
      <c r="G35" s="36"/>
      <c r="H35" s="35" t="s">
        <v>24</v>
      </c>
      <c r="I35" s="127"/>
      <c r="J35" s="36" t="s">
        <v>24</v>
      </c>
      <c r="K35" s="36"/>
      <c r="L35" s="35" t="s">
        <v>24</v>
      </c>
      <c r="M35" s="127"/>
      <c r="N35" s="99"/>
      <c r="O35" s="2">
        <v>1.0</v>
      </c>
      <c r="P35" s="122" t="s">
        <v>24</v>
      </c>
      <c r="Q35" s="123">
        <f t="shared" si="13"/>
        <v>0</v>
      </c>
      <c r="R35" s="124">
        <f t="shared" si="14"/>
        <v>0</v>
      </c>
      <c r="S35" s="129">
        <f t="shared" ref="S35:S47" si="17">SUM(C61,E61,G61,I61,K61,M61)/6</f>
        <v>0.3888888889</v>
      </c>
      <c r="T35" s="126">
        <f t="shared" si="16"/>
        <v>0.3888888889</v>
      </c>
    </row>
    <row r="36">
      <c r="A36" s="119"/>
      <c r="B36" s="35" t="s">
        <v>19</v>
      </c>
      <c r="C36" s="127">
        <v>1.0</v>
      </c>
      <c r="D36" s="35" t="s">
        <v>19</v>
      </c>
      <c r="E36" s="127"/>
      <c r="F36" s="35" t="s">
        <v>19</v>
      </c>
      <c r="G36" s="127">
        <v>0.333333333333333</v>
      </c>
      <c r="H36" s="35" t="s">
        <v>19</v>
      </c>
      <c r="I36" s="127">
        <v>1.33333333333333</v>
      </c>
      <c r="J36" s="35" t="s">
        <v>19</v>
      </c>
      <c r="K36" s="127"/>
      <c r="L36" s="35" t="s">
        <v>19</v>
      </c>
      <c r="M36" s="127">
        <v>1.33</v>
      </c>
      <c r="N36" s="99"/>
      <c r="O36" s="2">
        <v>4.0</v>
      </c>
      <c r="P36" s="122" t="s">
        <v>19</v>
      </c>
      <c r="Q36" s="123">
        <f t="shared" si="13"/>
        <v>0.6661111111</v>
      </c>
      <c r="R36" s="124">
        <f t="shared" si="14"/>
        <v>0.1665277778</v>
      </c>
      <c r="S36" s="129">
        <f t="shared" si="17"/>
        <v>0.1666666667</v>
      </c>
      <c r="T36" s="126">
        <f t="shared" si="16"/>
        <v>0.04166666667</v>
      </c>
    </row>
    <row r="37">
      <c r="A37" s="119"/>
      <c r="B37" s="35" t="s">
        <v>15</v>
      </c>
      <c r="C37" s="127"/>
      <c r="D37" s="35" t="s">
        <v>15</v>
      </c>
      <c r="E37" s="37"/>
      <c r="F37" s="35" t="s">
        <v>15</v>
      </c>
      <c r="G37" s="36"/>
      <c r="H37" s="35" t="s">
        <v>15</v>
      </c>
      <c r="I37" s="127"/>
      <c r="J37" s="35" t="s">
        <v>15</v>
      </c>
      <c r="K37" s="127"/>
      <c r="L37" s="35" t="s">
        <v>15</v>
      </c>
      <c r="M37" s="127"/>
      <c r="N37" s="99"/>
      <c r="O37" s="2">
        <v>10.0</v>
      </c>
      <c r="P37" s="122" t="s">
        <v>15</v>
      </c>
      <c r="Q37" s="123">
        <f t="shared" si="13"/>
        <v>0</v>
      </c>
      <c r="R37" s="124">
        <f t="shared" si="14"/>
        <v>0</v>
      </c>
      <c r="S37" s="129">
        <f t="shared" si="17"/>
        <v>0.6666666667</v>
      </c>
      <c r="T37" s="126">
        <f t="shared" si="16"/>
        <v>0.06666666667</v>
      </c>
    </row>
    <row r="38">
      <c r="A38" s="119"/>
      <c r="B38" s="35" t="s">
        <v>6</v>
      </c>
      <c r="C38" s="127">
        <v>3.33333333333333</v>
      </c>
      <c r="D38" s="35" t="s">
        <v>6</v>
      </c>
      <c r="E38" s="127">
        <v>6.66666666666667</v>
      </c>
      <c r="F38" s="35" t="s">
        <v>6</v>
      </c>
      <c r="G38" s="127">
        <v>8.33333333333333</v>
      </c>
      <c r="H38" s="35" t="s">
        <v>6</v>
      </c>
      <c r="I38" s="127">
        <v>19.3333333333333</v>
      </c>
      <c r="J38" s="35" t="s">
        <v>6</v>
      </c>
      <c r="K38" s="127">
        <v>6.0</v>
      </c>
      <c r="L38" s="35" t="s">
        <v>6</v>
      </c>
      <c r="M38" s="127">
        <v>9.66</v>
      </c>
      <c r="N38" s="99"/>
      <c r="O38" s="2">
        <v>25.0</v>
      </c>
      <c r="P38" s="122" t="s">
        <v>6</v>
      </c>
      <c r="Q38" s="123">
        <f t="shared" si="13"/>
        <v>8.887777778</v>
      </c>
      <c r="R38" s="124">
        <f t="shared" si="14"/>
        <v>0.3555111111</v>
      </c>
      <c r="S38" s="129">
        <f t="shared" si="17"/>
        <v>2</v>
      </c>
      <c r="T38" s="126">
        <f t="shared" si="16"/>
        <v>0.08</v>
      </c>
    </row>
    <row r="39">
      <c r="A39" s="119"/>
      <c r="B39" s="35" t="s">
        <v>16</v>
      </c>
      <c r="C39" s="127">
        <v>2.33333333333333</v>
      </c>
      <c r="D39" s="35" t="s">
        <v>16</v>
      </c>
      <c r="E39" s="127"/>
      <c r="F39" s="35" t="s">
        <v>16</v>
      </c>
      <c r="G39" s="127">
        <v>0.666666666666667</v>
      </c>
      <c r="H39" s="35" t="s">
        <v>16</v>
      </c>
      <c r="I39" s="127">
        <v>5.0</v>
      </c>
      <c r="J39" s="35" t="s">
        <v>16</v>
      </c>
      <c r="K39" s="127">
        <v>0.666666666666667</v>
      </c>
      <c r="L39" s="35" t="s">
        <v>16</v>
      </c>
      <c r="M39" s="127">
        <v>2.33333333333333</v>
      </c>
      <c r="N39" s="99"/>
      <c r="O39" s="2">
        <v>9.0</v>
      </c>
      <c r="P39" s="122" t="s">
        <v>16</v>
      </c>
      <c r="Q39" s="123">
        <f t="shared" si="13"/>
        <v>1.833333333</v>
      </c>
      <c r="R39" s="124">
        <f t="shared" si="14"/>
        <v>0.2037037037</v>
      </c>
      <c r="S39" s="129">
        <f t="shared" si="17"/>
        <v>0.5555555556</v>
      </c>
      <c r="T39" s="126">
        <f t="shared" si="16"/>
        <v>0.06172839506</v>
      </c>
    </row>
    <row r="40">
      <c r="A40" s="119"/>
      <c r="B40" s="35" t="s">
        <v>18</v>
      </c>
      <c r="C40" s="127"/>
      <c r="D40" s="35" t="s">
        <v>18</v>
      </c>
      <c r="E40" s="127"/>
      <c r="F40" s="35" t="s">
        <v>18</v>
      </c>
      <c r="G40" s="36"/>
      <c r="H40" s="35" t="s">
        <v>18</v>
      </c>
      <c r="I40" s="127"/>
      <c r="J40" s="35" t="s">
        <v>18</v>
      </c>
      <c r="K40" s="127"/>
      <c r="L40" s="35" t="s">
        <v>18</v>
      </c>
      <c r="M40" s="127"/>
      <c r="N40" s="99"/>
      <c r="O40" s="2">
        <v>5.0</v>
      </c>
      <c r="P40" s="122" t="s">
        <v>18</v>
      </c>
      <c r="Q40" s="123">
        <f t="shared" si="13"/>
        <v>0</v>
      </c>
      <c r="R40" s="124">
        <f t="shared" si="14"/>
        <v>0</v>
      </c>
      <c r="S40" s="129">
        <f t="shared" si="17"/>
        <v>0.8888888889</v>
      </c>
      <c r="T40" s="126">
        <f t="shared" si="16"/>
        <v>0.1777777778</v>
      </c>
    </row>
    <row r="41">
      <c r="A41" s="119"/>
      <c r="B41" s="35" t="s">
        <v>4</v>
      </c>
      <c r="C41" s="127"/>
      <c r="D41" s="35" t="s">
        <v>4</v>
      </c>
      <c r="E41" s="127"/>
      <c r="F41" s="35" t="s">
        <v>4</v>
      </c>
      <c r="G41" s="127"/>
      <c r="H41" s="35" t="s">
        <v>4</v>
      </c>
      <c r="I41" s="127"/>
      <c r="J41" s="35" t="s">
        <v>4</v>
      </c>
      <c r="K41" s="127"/>
      <c r="L41" s="35" t="s">
        <v>4</v>
      </c>
      <c r="M41" s="127"/>
      <c r="N41" s="99"/>
      <c r="O41" s="2">
        <v>27.0</v>
      </c>
      <c r="P41" s="122" t="s">
        <v>4</v>
      </c>
      <c r="Q41" s="123">
        <f t="shared" si="13"/>
        <v>0</v>
      </c>
      <c r="R41" s="124">
        <f t="shared" si="14"/>
        <v>0</v>
      </c>
      <c r="S41" s="129">
        <f t="shared" si="17"/>
        <v>4.555555556</v>
      </c>
      <c r="T41" s="126">
        <f t="shared" si="16"/>
        <v>0.1687242798</v>
      </c>
    </row>
    <row r="42">
      <c r="A42" s="119"/>
      <c r="B42" s="35" t="s">
        <v>3</v>
      </c>
      <c r="C42" s="127">
        <v>31.0</v>
      </c>
      <c r="D42" s="35" t="s">
        <v>3</v>
      </c>
      <c r="E42" s="37">
        <v>11.0</v>
      </c>
      <c r="F42" s="35" t="s">
        <v>3</v>
      </c>
      <c r="G42" s="127">
        <v>5.66666666666667</v>
      </c>
      <c r="H42" s="35" t="s">
        <v>3</v>
      </c>
      <c r="I42" s="127">
        <v>58.3333333333333</v>
      </c>
      <c r="J42" s="36" t="s">
        <v>3</v>
      </c>
      <c r="K42" s="36">
        <v>5.33333333333333</v>
      </c>
      <c r="L42" s="35" t="s">
        <v>3</v>
      </c>
      <c r="M42" s="127">
        <v>39.0</v>
      </c>
      <c r="N42" s="99"/>
      <c r="O42" s="2">
        <v>28.0</v>
      </c>
      <c r="P42" s="122" t="s">
        <v>3</v>
      </c>
      <c r="Q42" s="123">
        <f t="shared" si="13"/>
        <v>25.05555556</v>
      </c>
      <c r="R42" s="124">
        <f t="shared" si="14"/>
        <v>0.8948412698</v>
      </c>
      <c r="S42" s="129">
        <f t="shared" si="17"/>
        <v>1.666666667</v>
      </c>
      <c r="T42" s="126">
        <f t="shared" si="16"/>
        <v>0.05952380952</v>
      </c>
    </row>
    <row r="43">
      <c r="A43" s="119"/>
      <c r="B43" s="35" t="s">
        <v>12</v>
      </c>
      <c r="C43" s="127">
        <v>0.666666666666667</v>
      </c>
      <c r="D43" s="35" t="s">
        <v>12</v>
      </c>
      <c r="E43" s="127">
        <v>2.33333333333333</v>
      </c>
      <c r="F43" s="35" t="s">
        <v>12</v>
      </c>
      <c r="G43" s="127">
        <v>0.333333333333333</v>
      </c>
      <c r="H43" s="35" t="s">
        <v>12</v>
      </c>
      <c r="I43" s="127">
        <v>4.0</v>
      </c>
      <c r="J43" s="35" t="s">
        <v>12</v>
      </c>
      <c r="K43" s="127">
        <v>1.33333333333333</v>
      </c>
      <c r="L43" s="35" t="s">
        <v>12</v>
      </c>
      <c r="M43" s="127">
        <v>4.33333333333333</v>
      </c>
      <c r="N43" s="99"/>
      <c r="O43" s="2">
        <v>18.0</v>
      </c>
      <c r="P43" s="122" t="s">
        <v>12</v>
      </c>
      <c r="Q43" s="123">
        <f t="shared" si="13"/>
        <v>2.166666667</v>
      </c>
      <c r="R43" s="124">
        <f t="shared" si="14"/>
        <v>0.1203703704</v>
      </c>
      <c r="S43" s="129">
        <f t="shared" si="17"/>
        <v>1.333333333</v>
      </c>
      <c r="T43" s="126">
        <f t="shared" si="16"/>
        <v>0.07407407407</v>
      </c>
    </row>
    <row r="44">
      <c r="A44" s="119"/>
      <c r="B44" s="35" t="s">
        <v>9</v>
      </c>
      <c r="C44" s="127"/>
      <c r="D44" s="35" t="s">
        <v>9</v>
      </c>
      <c r="E44" s="127"/>
      <c r="F44" s="35" t="s">
        <v>9</v>
      </c>
      <c r="G44" s="127"/>
      <c r="H44" s="35" t="s">
        <v>9</v>
      </c>
      <c r="I44" s="127"/>
      <c r="J44" s="35" t="s">
        <v>9</v>
      </c>
      <c r="K44" s="127"/>
      <c r="L44" s="35" t="s">
        <v>9</v>
      </c>
      <c r="M44" s="127"/>
      <c r="N44" s="99"/>
      <c r="O44" s="2">
        <v>22.0</v>
      </c>
      <c r="P44" s="122" t="s">
        <v>9</v>
      </c>
      <c r="Q44" s="123">
        <f t="shared" si="13"/>
        <v>0</v>
      </c>
      <c r="R44" s="124">
        <f t="shared" si="14"/>
        <v>0</v>
      </c>
      <c r="S44" s="129">
        <f t="shared" si="17"/>
        <v>1.944444444</v>
      </c>
      <c r="T44" s="126">
        <f t="shared" si="16"/>
        <v>0.08838383838</v>
      </c>
    </row>
    <row r="45">
      <c r="A45" s="119"/>
      <c r="B45" s="35" t="s">
        <v>26</v>
      </c>
      <c r="C45" s="127"/>
      <c r="D45" s="35" t="s">
        <v>26</v>
      </c>
      <c r="E45" s="127"/>
      <c r="F45" s="35" t="s">
        <v>26</v>
      </c>
      <c r="G45" s="127"/>
      <c r="H45" s="35" t="s">
        <v>26</v>
      </c>
      <c r="I45" s="127">
        <v>1.66666666666667</v>
      </c>
      <c r="J45" s="35" t="s">
        <v>26</v>
      </c>
      <c r="K45" s="127"/>
      <c r="L45" s="35" t="s">
        <v>26</v>
      </c>
      <c r="M45" s="127"/>
      <c r="N45" s="99"/>
      <c r="O45" s="2">
        <v>1.0</v>
      </c>
      <c r="P45" s="122" t="s">
        <v>26</v>
      </c>
      <c r="Q45" s="123">
        <f t="shared" si="13"/>
        <v>0.2777777778</v>
      </c>
      <c r="R45" s="124">
        <f t="shared" si="14"/>
        <v>0.2777777778</v>
      </c>
      <c r="S45" s="129">
        <f t="shared" si="17"/>
        <v>0.2222222222</v>
      </c>
      <c r="T45" s="126">
        <f t="shared" si="16"/>
        <v>0.2222222222</v>
      </c>
    </row>
    <row r="46">
      <c r="A46" s="119"/>
      <c r="B46" s="35" t="s">
        <v>17</v>
      </c>
      <c r="C46" s="127"/>
      <c r="D46" s="35" t="s">
        <v>17</v>
      </c>
      <c r="E46" s="127"/>
      <c r="F46" s="35" t="s">
        <v>17</v>
      </c>
      <c r="G46" s="127"/>
      <c r="H46" s="35" t="s">
        <v>17</v>
      </c>
      <c r="I46" s="127"/>
      <c r="J46" s="35" t="s">
        <v>17</v>
      </c>
      <c r="K46" s="127"/>
      <c r="L46" s="35" t="s">
        <v>17</v>
      </c>
      <c r="M46" s="127"/>
      <c r="N46" s="99"/>
      <c r="O46" s="2">
        <v>9.0</v>
      </c>
      <c r="P46" s="122" t="s">
        <v>17</v>
      </c>
      <c r="Q46" s="123">
        <f t="shared" si="13"/>
        <v>0</v>
      </c>
      <c r="R46" s="124">
        <f t="shared" si="14"/>
        <v>0</v>
      </c>
      <c r="S46" s="129">
        <f t="shared" si="17"/>
        <v>1.833333333</v>
      </c>
      <c r="T46" s="126">
        <f t="shared" si="16"/>
        <v>0.2037037037</v>
      </c>
    </row>
    <row r="47">
      <c r="A47" s="119"/>
      <c r="B47" s="48" t="s">
        <v>10</v>
      </c>
      <c r="C47" s="130">
        <v>6.66666666666667</v>
      </c>
      <c r="D47" s="48" t="s">
        <v>10</v>
      </c>
      <c r="E47" s="130">
        <v>3.33333333333333</v>
      </c>
      <c r="F47" s="48" t="s">
        <v>10</v>
      </c>
      <c r="G47" s="127">
        <v>6.0</v>
      </c>
      <c r="H47" s="48" t="s">
        <v>10</v>
      </c>
      <c r="I47" s="130">
        <v>11.0</v>
      </c>
      <c r="J47" s="131" t="s">
        <v>10</v>
      </c>
      <c r="K47" s="127">
        <v>5.33333333333333</v>
      </c>
      <c r="L47" s="48" t="s">
        <v>10</v>
      </c>
      <c r="M47" s="130">
        <v>9.0</v>
      </c>
      <c r="N47" s="99"/>
      <c r="O47" s="2">
        <v>20.0</v>
      </c>
      <c r="P47" s="122" t="s">
        <v>10</v>
      </c>
      <c r="Q47" s="123">
        <f t="shared" si="13"/>
        <v>6.888888889</v>
      </c>
      <c r="R47" s="124">
        <f t="shared" si="14"/>
        <v>0.3444444444</v>
      </c>
      <c r="S47" s="129">
        <f t="shared" si="17"/>
        <v>1.833333333</v>
      </c>
      <c r="T47" s="126">
        <f t="shared" si="16"/>
        <v>0.09166666667</v>
      </c>
    </row>
    <row r="48">
      <c r="A48" s="118" t="s">
        <v>58</v>
      </c>
      <c r="B48" s="91" t="s">
        <v>30</v>
      </c>
      <c r="C48" s="92"/>
      <c r="D48" s="91" t="s">
        <v>31</v>
      </c>
      <c r="E48" s="92"/>
      <c r="F48" s="91" t="s">
        <v>32</v>
      </c>
      <c r="G48" s="92"/>
      <c r="H48" s="91" t="s">
        <v>33</v>
      </c>
      <c r="I48" s="92"/>
      <c r="J48" s="91" t="s">
        <v>34</v>
      </c>
      <c r="K48" s="92"/>
      <c r="L48" s="91" t="s">
        <v>35</v>
      </c>
      <c r="M48" s="92"/>
      <c r="N48" s="99"/>
      <c r="O48" s="2">
        <v>1.0</v>
      </c>
      <c r="P48" s="122" t="s">
        <v>23</v>
      </c>
      <c r="Q48" s="33">
        <v>0.0</v>
      </c>
      <c r="R48" s="124">
        <f t="shared" si="14"/>
        <v>0</v>
      </c>
      <c r="S48" s="129">
        <f>SUM(C60,E60,G60,I60,K60,M60)/6</f>
        <v>0.1111111111</v>
      </c>
      <c r="T48" s="126">
        <f t="shared" si="16"/>
        <v>0.1111111111</v>
      </c>
    </row>
    <row r="49">
      <c r="A49" s="119"/>
      <c r="B49" s="16" t="s">
        <v>39</v>
      </c>
      <c r="C49" s="17" t="s">
        <v>65</v>
      </c>
      <c r="D49" s="16" t="s">
        <v>39</v>
      </c>
      <c r="E49" s="17" t="s">
        <v>65</v>
      </c>
      <c r="F49" s="16" t="s">
        <v>39</v>
      </c>
      <c r="G49" s="17" t="s">
        <v>65</v>
      </c>
      <c r="H49" s="16" t="s">
        <v>39</v>
      </c>
      <c r="I49" s="17" t="s">
        <v>65</v>
      </c>
      <c r="J49" s="16" t="s">
        <v>39</v>
      </c>
      <c r="K49" s="17" t="s">
        <v>65</v>
      </c>
      <c r="L49" s="16" t="s">
        <v>39</v>
      </c>
      <c r="M49" s="17" t="s">
        <v>65</v>
      </c>
      <c r="O49" s="2">
        <v>1.0</v>
      </c>
      <c r="P49" s="122" t="s">
        <v>25</v>
      </c>
      <c r="Q49" s="33">
        <v>0.0</v>
      </c>
      <c r="R49" s="124">
        <f t="shared" si="14"/>
        <v>0</v>
      </c>
      <c r="S49" s="132">
        <v>0.0</v>
      </c>
      <c r="T49" s="126">
        <f t="shared" si="16"/>
        <v>0</v>
      </c>
    </row>
    <row r="50">
      <c r="A50" s="119"/>
      <c r="B50" s="120" t="s">
        <v>5</v>
      </c>
      <c r="C50" s="121">
        <v>2.0</v>
      </c>
      <c r="D50" s="133" t="s">
        <v>5</v>
      </c>
      <c r="E50" s="134">
        <v>0.333333333333333</v>
      </c>
      <c r="F50" s="120" t="s">
        <v>5</v>
      </c>
      <c r="G50" s="121">
        <v>1.33333333333333</v>
      </c>
      <c r="H50" s="133" t="s">
        <v>5</v>
      </c>
      <c r="I50" s="134">
        <v>6.0</v>
      </c>
      <c r="J50" s="120" t="s">
        <v>5</v>
      </c>
      <c r="K50" s="121">
        <v>0.333333333333333</v>
      </c>
      <c r="L50" s="133" t="s">
        <v>5</v>
      </c>
      <c r="M50" s="121">
        <v>3.66666666666667</v>
      </c>
    </row>
    <row r="51">
      <c r="A51" s="119"/>
      <c r="B51" s="35" t="s">
        <v>11</v>
      </c>
      <c r="C51" s="127">
        <v>1.0</v>
      </c>
      <c r="D51" s="36" t="s">
        <v>11</v>
      </c>
      <c r="E51" s="135">
        <v>0.333333333333333</v>
      </c>
      <c r="F51" s="35" t="s">
        <v>11</v>
      </c>
      <c r="G51" s="127">
        <v>1.33333333333333</v>
      </c>
      <c r="H51" s="36" t="s">
        <v>11</v>
      </c>
      <c r="I51" s="135">
        <v>6.33333333333333</v>
      </c>
      <c r="J51" s="35" t="s">
        <v>11</v>
      </c>
      <c r="K51" s="127">
        <v>1.0</v>
      </c>
      <c r="L51" s="36" t="s">
        <v>11</v>
      </c>
      <c r="M51" s="127">
        <v>4.33333333333333</v>
      </c>
    </row>
    <row r="52">
      <c r="A52" s="119"/>
      <c r="B52" s="35" t="s">
        <v>7</v>
      </c>
      <c r="C52" s="127">
        <v>1.66666666666667</v>
      </c>
      <c r="D52" s="36" t="s">
        <v>7</v>
      </c>
      <c r="F52" s="35" t="s">
        <v>7</v>
      </c>
      <c r="G52" s="127">
        <v>0.666666666666667</v>
      </c>
      <c r="H52" s="36" t="s">
        <v>7</v>
      </c>
      <c r="I52" s="135">
        <v>5.0</v>
      </c>
      <c r="J52" s="35" t="s">
        <v>7</v>
      </c>
      <c r="K52" s="127">
        <v>0.666666666666667</v>
      </c>
      <c r="L52" s="36" t="s">
        <v>7</v>
      </c>
      <c r="M52" s="127">
        <v>2.33333333333333</v>
      </c>
    </row>
    <row r="53">
      <c r="A53" s="119"/>
      <c r="B53" s="35" t="s">
        <v>8</v>
      </c>
      <c r="C53" s="127">
        <v>1.33333333333333</v>
      </c>
      <c r="D53" s="36" t="s">
        <v>8</v>
      </c>
      <c r="E53" s="135">
        <v>0.333333333333333</v>
      </c>
      <c r="F53" s="35" t="s">
        <v>8</v>
      </c>
      <c r="G53" s="127">
        <v>1.33333333333333</v>
      </c>
      <c r="H53" s="36" t="s">
        <v>8</v>
      </c>
      <c r="I53" s="135">
        <v>4.0</v>
      </c>
      <c r="J53" s="35" t="s">
        <v>8</v>
      </c>
      <c r="K53" s="127"/>
      <c r="L53" s="36" t="s">
        <v>8</v>
      </c>
      <c r="M53" s="127">
        <v>3.0</v>
      </c>
    </row>
    <row r="54">
      <c r="A54" s="119"/>
      <c r="B54" s="35" t="s">
        <v>21</v>
      </c>
      <c r="C54" s="127">
        <v>0.333333333333333</v>
      </c>
      <c r="D54" s="36" t="s">
        <v>21</v>
      </c>
      <c r="E54" s="135"/>
      <c r="F54" s="35" t="s">
        <v>21</v>
      </c>
      <c r="G54" s="127">
        <v>0.333333333333333</v>
      </c>
      <c r="H54" s="36" t="s">
        <v>21</v>
      </c>
      <c r="I54" s="135">
        <v>0.333333333333333</v>
      </c>
      <c r="J54" s="35" t="s">
        <v>21</v>
      </c>
      <c r="K54" s="127">
        <v>0.333333333333333</v>
      </c>
      <c r="L54" s="36" t="s">
        <v>21</v>
      </c>
      <c r="M54" s="127">
        <v>0.333333333333333</v>
      </c>
    </row>
    <row r="55">
      <c r="A55" s="119"/>
      <c r="B55" s="35" t="s">
        <v>20</v>
      </c>
      <c r="C55" s="127">
        <v>0.333333333333333</v>
      </c>
      <c r="D55" s="36" t="s">
        <v>20</v>
      </c>
      <c r="E55" s="135"/>
      <c r="F55" s="35" t="s">
        <v>20</v>
      </c>
      <c r="G55" s="127"/>
      <c r="H55" s="36" t="s">
        <v>20</v>
      </c>
      <c r="I55" s="135"/>
      <c r="J55" s="35" t="s">
        <v>20</v>
      </c>
      <c r="K55" s="127"/>
      <c r="L55" s="36" t="s">
        <v>20</v>
      </c>
      <c r="M55" s="127"/>
    </row>
    <row r="56">
      <c r="A56" s="119"/>
      <c r="B56" s="35" t="s">
        <v>13</v>
      </c>
      <c r="C56" s="127">
        <v>1.33333333333333</v>
      </c>
      <c r="D56" s="36" t="s">
        <v>13</v>
      </c>
      <c r="E56" s="135"/>
      <c r="F56" s="35" t="s">
        <v>13</v>
      </c>
      <c r="G56" s="127">
        <v>1.0</v>
      </c>
      <c r="H56" s="36" t="s">
        <v>13</v>
      </c>
      <c r="I56" s="135">
        <v>2.33333333333333</v>
      </c>
      <c r="J56" s="35" t="s">
        <v>13</v>
      </c>
      <c r="K56" s="127">
        <v>0.666666666666667</v>
      </c>
      <c r="L56" s="36" t="s">
        <v>13</v>
      </c>
      <c r="M56" s="127">
        <v>1.33333333333333</v>
      </c>
    </row>
    <row r="57">
      <c r="A57" s="119"/>
      <c r="B57" s="35" t="s">
        <v>14</v>
      </c>
      <c r="C57" s="127">
        <v>2.33333333333333</v>
      </c>
      <c r="D57" s="36" t="s">
        <v>14</v>
      </c>
      <c r="E57" s="135"/>
      <c r="F57" s="35" t="s">
        <v>14</v>
      </c>
      <c r="G57" s="127">
        <v>0.666666666666667</v>
      </c>
      <c r="H57" s="36" t="s">
        <v>14</v>
      </c>
      <c r="I57" s="135">
        <v>3.0</v>
      </c>
      <c r="J57" s="35" t="s">
        <v>14</v>
      </c>
      <c r="L57" s="36" t="s">
        <v>14</v>
      </c>
      <c r="M57" s="127"/>
    </row>
    <row r="58">
      <c r="A58" s="119"/>
      <c r="B58" s="35" t="s">
        <v>2</v>
      </c>
      <c r="C58" s="127">
        <v>2.0</v>
      </c>
      <c r="D58" s="36" t="s">
        <v>2</v>
      </c>
      <c r="E58" s="135">
        <v>0.333333333333333</v>
      </c>
      <c r="F58" s="35" t="s">
        <v>2</v>
      </c>
      <c r="G58" s="127">
        <v>0.333333333333333</v>
      </c>
      <c r="H58" s="36" t="s">
        <v>2</v>
      </c>
      <c r="I58" s="135">
        <v>3.33333333333333</v>
      </c>
      <c r="J58" s="35" t="s">
        <v>2</v>
      </c>
      <c r="K58" s="127">
        <v>0.333333333333333</v>
      </c>
      <c r="L58" s="36" t="s">
        <v>2</v>
      </c>
      <c r="M58" s="127">
        <v>1.33333333333333</v>
      </c>
    </row>
    <row r="59">
      <c r="A59" s="119"/>
      <c r="B59" s="35" t="s">
        <v>22</v>
      </c>
      <c r="C59" s="127"/>
      <c r="D59" s="36" t="s">
        <v>22</v>
      </c>
      <c r="E59" s="135"/>
      <c r="F59" s="35" t="s">
        <v>22</v>
      </c>
      <c r="G59" s="127"/>
      <c r="H59" s="36" t="s">
        <v>22</v>
      </c>
      <c r="I59" s="135">
        <v>1.0</v>
      </c>
      <c r="J59" s="35" t="s">
        <v>22</v>
      </c>
      <c r="K59" s="127">
        <v>0.333333333333333</v>
      </c>
      <c r="L59" s="36" t="s">
        <v>22</v>
      </c>
      <c r="M59" s="127">
        <v>0.666666666666667</v>
      </c>
    </row>
    <row r="60">
      <c r="A60" s="119"/>
      <c r="B60" s="35" t="s">
        <v>23</v>
      </c>
      <c r="C60" s="127">
        <v>0.333333333333333</v>
      </c>
      <c r="D60" s="36" t="s">
        <v>23</v>
      </c>
      <c r="E60" s="135"/>
      <c r="F60" s="35" t="s">
        <v>23</v>
      </c>
      <c r="G60" s="127"/>
      <c r="H60" s="36" t="s">
        <v>23</v>
      </c>
      <c r="I60" s="135"/>
      <c r="J60" s="35" t="s">
        <v>23</v>
      </c>
      <c r="K60" s="136"/>
      <c r="L60" s="36" t="s">
        <v>23</v>
      </c>
      <c r="M60" s="127">
        <v>0.333333333333333</v>
      </c>
    </row>
    <row r="61">
      <c r="A61" s="119"/>
      <c r="B61" s="35" t="s">
        <v>24</v>
      </c>
      <c r="C61" s="127">
        <v>0.666666666666667</v>
      </c>
      <c r="D61" s="36" t="s">
        <v>24</v>
      </c>
      <c r="E61" s="135"/>
      <c r="F61" s="35" t="s">
        <v>24</v>
      </c>
      <c r="G61" s="127"/>
      <c r="H61" s="36" t="s">
        <v>24</v>
      </c>
      <c r="I61" s="135">
        <v>1.33333333333333</v>
      </c>
      <c r="J61" s="35" t="s">
        <v>24</v>
      </c>
      <c r="K61" s="136"/>
      <c r="L61" s="36" t="s">
        <v>24</v>
      </c>
      <c r="M61" s="127">
        <v>0.333333333333333</v>
      </c>
    </row>
    <row r="62">
      <c r="A62" s="119"/>
      <c r="B62" s="35" t="s">
        <v>19</v>
      </c>
      <c r="C62" s="127"/>
      <c r="D62" s="36" t="s">
        <v>19</v>
      </c>
      <c r="E62" s="135"/>
      <c r="F62" s="35" t="s">
        <v>19</v>
      </c>
      <c r="G62" s="127"/>
      <c r="H62" s="36" t="s">
        <v>19</v>
      </c>
      <c r="I62" s="135">
        <v>0.666666666666667</v>
      </c>
      <c r="J62" s="35" t="s">
        <v>19</v>
      </c>
      <c r="K62" s="136"/>
      <c r="L62" s="36" t="s">
        <v>19</v>
      </c>
      <c r="M62" s="127">
        <v>0.333333333333333</v>
      </c>
    </row>
    <row r="63">
      <c r="A63" s="119"/>
      <c r="B63" s="35" t="s">
        <v>15</v>
      </c>
      <c r="C63" s="127">
        <v>0.333333333333333</v>
      </c>
      <c r="D63" s="36" t="s">
        <v>15</v>
      </c>
      <c r="E63" s="135"/>
      <c r="F63" s="35" t="s">
        <v>15</v>
      </c>
      <c r="G63" s="127">
        <v>1.0</v>
      </c>
      <c r="H63" s="36" t="s">
        <v>15</v>
      </c>
      <c r="I63" s="135">
        <v>1.33333333333333</v>
      </c>
      <c r="J63" s="35" t="s">
        <v>15</v>
      </c>
      <c r="K63" s="136"/>
      <c r="L63" s="36" t="s">
        <v>15</v>
      </c>
      <c r="M63" s="127">
        <v>1.33333333333333</v>
      </c>
    </row>
    <row r="64">
      <c r="A64" s="119"/>
      <c r="B64" s="35" t="s">
        <v>6</v>
      </c>
      <c r="C64" s="127">
        <v>1.0</v>
      </c>
      <c r="D64" s="36" t="s">
        <v>6</v>
      </c>
      <c r="E64" s="135"/>
      <c r="F64" s="35" t="s">
        <v>6</v>
      </c>
      <c r="G64" s="127">
        <v>1.33333333333333</v>
      </c>
      <c r="H64" s="36" t="s">
        <v>6</v>
      </c>
      <c r="I64" s="135">
        <v>5.0</v>
      </c>
      <c r="J64" s="35" t="s">
        <v>6</v>
      </c>
      <c r="K64" s="127">
        <v>0.666666666666667</v>
      </c>
      <c r="L64" s="36" t="s">
        <v>6</v>
      </c>
      <c r="M64" s="127">
        <v>4.0</v>
      </c>
    </row>
    <row r="65">
      <c r="A65" s="119"/>
      <c r="B65" s="35" t="s">
        <v>16</v>
      </c>
      <c r="C65" s="127"/>
      <c r="D65" s="36" t="s">
        <v>16</v>
      </c>
      <c r="E65" s="135"/>
      <c r="F65" s="35" t="s">
        <v>16</v>
      </c>
      <c r="G65" s="127">
        <v>0.333333333333333</v>
      </c>
      <c r="H65" s="36" t="s">
        <v>16</v>
      </c>
      <c r="I65" s="135">
        <v>1.0</v>
      </c>
      <c r="J65" s="35" t="s">
        <v>16</v>
      </c>
      <c r="K65" s="127">
        <v>0.666666666666667</v>
      </c>
      <c r="L65" s="36" t="s">
        <v>16</v>
      </c>
      <c r="M65" s="127">
        <v>1.33333333333333</v>
      </c>
    </row>
    <row r="66">
      <c r="A66" s="119"/>
      <c r="B66" s="35" t="s">
        <v>18</v>
      </c>
      <c r="C66" s="127">
        <v>0.666666666666667</v>
      </c>
      <c r="D66" s="36" t="s">
        <v>18</v>
      </c>
      <c r="E66" s="135"/>
      <c r="F66" s="35" t="s">
        <v>18</v>
      </c>
      <c r="G66" s="127">
        <v>1.0</v>
      </c>
      <c r="H66" s="36" t="s">
        <v>18</v>
      </c>
      <c r="I66" s="135">
        <v>1.33333333333333</v>
      </c>
      <c r="J66" s="35" t="s">
        <v>18</v>
      </c>
      <c r="K66" s="127">
        <v>0.333333333333333</v>
      </c>
      <c r="L66" s="36" t="s">
        <v>18</v>
      </c>
      <c r="M66" s="127">
        <v>2.0</v>
      </c>
    </row>
    <row r="67">
      <c r="A67" s="119"/>
      <c r="B67" s="35" t="s">
        <v>4</v>
      </c>
      <c r="C67" s="127">
        <v>1.33333333333333</v>
      </c>
      <c r="D67" s="36" t="s">
        <v>4</v>
      </c>
      <c r="E67" s="135">
        <v>4.0</v>
      </c>
      <c r="F67" s="35" t="s">
        <v>4</v>
      </c>
      <c r="G67" s="127">
        <v>1.0</v>
      </c>
      <c r="H67" s="36" t="s">
        <v>4</v>
      </c>
      <c r="I67" s="135">
        <v>12.3333333333333</v>
      </c>
      <c r="J67" s="35" t="s">
        <v>4</v>
      </c>
      <c r="K67" s="127">
        <v>2.0</v>
      </c>
      <c r="L67" s="36" t="s">
        <v>4</v>
      </c>
      <c r="M67" s="127">
        <v>6.66666666666667</v>
      </c>
    </row>
    <row r="68">
      <c r="A68" s="119"/>
      <c r="B68" s="35" t="s">
        <v>3</v>
      </c>
      <c r="C68" s="127">
        <v>1.0</v>
      </c>
      <c r="D68" s="36" t="s">
        <v>3</v>
      </c>
      <c r="F68" s="35" t="s">
        <v>3</v>
      </c>
      <c r="G68" s="127">
        <v>0.666666666666667</v>
      </c>
      <c r="H68" s="36" t="s">
        <v>3</v>
      </c>
      <c r="I68" s="135">
        <v>4.66666666666667</v>
      </c>
      <c r="J68" s="35" t="s">
        <v>3</v>
      </c>
      <c r="K68" s="127">
        <v>0.666666666666667</v>
      </c>
      <c r="L68" s="36" t="s">
        <v>3</v>
      </c>
      <c r="M68" s="127">
        <v>3.0</v>
      </c>
    </row>
    <row r="69">
      <c r="A69" s="119"/>
      <c r="B69" s="35" t="s">
        <v>12</v>
      </c>
      <c r="C69" s="127">
        <v>2.0</v>
      </c>
      <c r="D69" s="36" t="s">
        <v>12</v>
      </c>
      <c r="E69" s="135">
        <v>0.333333333333333</v>
      </c>
      <c r="F69" s="35" t="s">
        <v>12</v>
      </c>
      <c r="G69" s="127">
        <v>1.33333333333333</v>
      </c>
      <c r="H69" s="36" t="s">
        <v>12</v>
      </c>
      <c r="I69" s="135">
        <v>2.33333333333333</v>
      </c>
      <c r="J69" s="35" t="s">
        <v>12</v>
      </c>
      <c r="K69" s="136"/>
      <c r="L69" s="36" t="s">
        <v>12</v>
      </c>
      <c r="M69" s="127">
        <v>2.0</v>
      </c>
    </row>
    <row r="70">
      <c r="A70" s="119"/>
      <c r="B70" s="35" t="s">
        <v>9</v>
      </c>
      <c r="C70" s="127">
        <v>3.0</v>
      </c>
      <c r="D70" s="36" t="s">
        <v>9</v>
      </c>
      <c r="E70" s="135">
        <v>0.333333333333333</v>
      </c>
      <c r="F70" s="35" t="s">
        <v>9</v>
      </c>
      <c r="G70" s="127">
        <v>2.33333333333333</v>
      </c>
      <c r="H70" s="36" t="s">
        <v>9</v>
      </c>
      <c r="I70" s="135">
        <v>3.66666666666667</v>
      </c>
      <c r="J70" s="35" t="s">
        <v>9</v>
      </c>
      <c r="K70" s="127">
        <v>0.333333333333333</v>
      </c>
      <c r="L70" s="36" t="s">
        <v>9</v>
      </c>
      <c r="M70" s="127">
        <v>2.0</v>
      </c>
    </row>
    <row r="71">
      <c r="A71" s="119"/>
      <c r="B71" s="35" t="s">
        <v>26</v>
      </c>
      <c r="C71" s="127">
        <v>0.333333333333333</v>
      </c>
      <c r="D71" s="36" t="s">
        <v>26</v>
      </c>
      <c r="E71" s="135">
        <v>0.333333333333333</v>
      </c>
      <c r="F71" s="35" t="s">
        <v>26</v>
      </c>
      <c r="G71" s="127">
        <v>0.666666666666667</v>
      </c>
      <c r="H71" s="36" t="s">
        <v>26</v>
      </c>
      <c r="J71" s="35" t="s">
        <v>26</v>
      </c>
      <c r="K71" s="136"/>
      <c r="L71" s="36" t="s">
        <v>26</v>
      </c>
      <c r="M71" s="136"/>
    </row>
    <row r="72">
      <c r="A72" s="119"/>
      <c r="B72" s="35" t="s">
        <v>17</v>
      </c>
      <c r="C72" s="127">
        <v>1.33333333333333</v>
      </c>
      <c r="D72" s="36" t="s">
        <v>17</v>
      </c>
      <c r="E72" s="135">
        <v>0.666666666666667</v>
      </c>
      <c r="F72" s="35" t="s">
        <v>17</v>
      </c>
      <c r="G72" s="127">
        <v>2.0</v>
      </c>
      <c r="H72" s="36" t="s">
        <v>17</v>
      </c>
      <c r="I72" s="135">
        <v>3.66666666666667</v>
      </c>
      <c r="J72" s="35" t="s">
        <v>17</v>
      </c>
      <c r="K72" s="127">
        <v>0.666666666666667</v>
      </c>
      <c r="L72" s="36" t="s">
        <v>17</v>
      </c>
      <c r="M72" s="127">
        <v>2.66666666666667</v>
      </c>
    </row>
    <row r="73">
      <c r="A73" s="119"/>
      <c r="B73" s="48" t="s">
        <v>10</v>
      </c>
      <c r="C73" s="130">
        <v>0.666666666666667</v>
      </c>
      <c r="D73" s="49" t="s">
        <v>10</v>
      </c>
      <c r="E73" s="137"/>
      <c r="F73" s="48" t="s">
        <v>10</v>
      </c>
      <c r="G73" s="130">
        <v>1.0</v>
      </c>
      <c r="H73" s="49" t="s">
        <v>10</v>
      </c>
      <c r="I73" s="135">
        <v>4.0</v>
      </c>
      <c r="J73" s="48" t="s">
        <v>10</v>
      </c>
      <c r="K73" s="130">
        <v>0.333333333333333</v>
      </c>
      <c r="L73" s="49" t="s">
        <v>10</v>
      </c>
      <c r="M73" s="130">
        <v>5.0</v>
      </c>
    </row>
  </sheetData>
  <conditionalFormatting sqref="A1 A3:D3 N3:P3 A11:B11 C11:D12 N11:P12 M12 A21 A23:M23 P23:T23 A48:M48">
    <cfRule type="containsText" dxfId="0" priority="1" operator="containsText" text="Match found">
      <formula>NOT(ISERROR(SEARCH(("Match found"),(A1))))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3" t="s">
        <v>62</v>
      </c>
    </row>
    <row r="2">
      <c r="A2" s="2" t="s">
        <v>63</v>
      </c>
    </row>
    <row r="3">
      <c r="A3" s="90" t="s">
        <v>54</v>
      </c>
      <c r="B3" s="91" t="s">
        <v>30</v>
      </c>
      <c r="C3" s="92"/>
      <c r="D3" s="92"/>
      <c r="E3" s="93"/>
      <c r="F3" s="11" t="s">
        <v>31</v>
      </c>
      <c r="G3" s="11"/>
      <c r="H3" s="11"/>
      <c r="I3" s="10"/>
      <c r="J3" s="12" t="s">
        <v>32</v>
      </c>
      <c r="K3" s="11"/>
      <c r="L3" s="11"/>
      <c r="M3" s="93"/>
      <c r="N3" s="92" t="s">
        <v>33</v>
      </c>
      <c r="O3" s="92"/>
      <c r="P3" s="92"/>
      <c r="Q3" s="10"/>
      <c r="R3" s="12" t="s">
        <v>34</v>
      </c>
      <c r="S3" s="11"/>
      <c r="T3" s="11"/>
      <c r="U3" s="93"/>
      <c r="V3" s="11" t="s">
        <v>35</v>
      </c>
      <c r="W3" s="11"/>
      <c r="X3" s="11"/>
      <c r="Y3" s="93"/>
    </row>
    <row r="4">
      <c r="A4" s="94" t="s">
        <v>64</v>
      </c>
      <c r="B4" s="16">
        <v>1.0</v>
      </c>
      <c r="C4" s="17">
        <v>2.0</v>
      </c>
      <c r="D4" s="17">
        <v>3.0</v>
      </c>
      <c r="E4" s="18" t="s">
        <v>65</v>
      </c>
      <c r="F4" s="17">
        <v>1.0</v>
      </c>
      <c r="G4" s="17">
        <v>2.0</v>
      </c>
      <c r="H4" s="17">
        <v>3.0</v>
      </c>
      <c r="I4" s="18" t="s">
        <v>65</v>
      </c>
      <c r="J4" s="16">
        <v>1.0</v>
      </c>
      <c r="K4" s="17">
        <v>2.0</v>
      </c>
      <c r="L4" s="17">
        <v>3.0</v>
      </c>
      <c r="M4" s="18" t="s">
        <v>65</v>
      </c>
      <c r="N4" s="17">
        <v>1.0</v>
      </c>
      <c r="O4" s="17">
        <v>2.0</v>
      </c>
      <c r="P4" s="17">
        <v>3.0</v>
      </c>
      <c r="Q4" s="18" t="s">
        <v>65</v>
      </c>
      <c r="R4" s="16">
        <v>1.0</v>
      </c>
      <c r="S4" s="17">
        <v>2.0</v>
      </c>
      <c r="T4" s="17">
        <v>3.0</v>
      </c>
      <c r="U4" s="18" t="s">
        <v>65</v>
      </c>
      <c r="V4" s="17">
        <v>1.0</v>
      </c>
      <c r="W4" s="17">
        <v>2.0</v>
      </c>
      <c r="X4" s="17">
        <v>3.0</v>
      </c>
      <c r="Y4" s="18" t="s">
        <v>65</v>
      </c>
    </row>
    <row r="5">
      <c r="A5" s="95" t="s">
        <v>66</v>
      </c>
      <c r="B5" s="138">
        <v>4.0</v>
      </c>
      <c r="C5" s="138">
        <v>7.0</v>
      </c>
      <c r="D5" s="138">
        <v>2.0</v>
      </c>
      <c r="E5" s="98">
        <f>AVERAGE(B5:D5)</f>
        <v>4.333333333</v>
      </c>
      <c r="F5" s="2">
        <v>2.0</v>
      </c>
      <c r="G5" s="2">
        <v>3.0</v>
      </c>
      <c r="H5" s="2">
        <v>2.0</v>
      </c>
      <c r="I5" s="99">
        <f t="shared" ref="I5:I8" si="1">AVERAGE(F5:H5)</f>
        <v>2.333333333</v>
      </c>
      <c r="J5" s="100">
        <v>3.0</v>
      </c>
      <c r="K5" s="2">
        <v>2.0</v>
      </c>
      <c r="L5" s="2">
        <v>1.0</v>
      </c>
      <c r="M5" s="101">
        <f t="shared" ref="M5:M6" si="2">AVERAGE(J5:L5)</f>
        <v>2</v>
      </c>
      <c r="N5" s="2">
        <v>77.0</v>
      </c>
      <c r="O5" s="2">
        <v>69.0</v>
      </c>
      <c r="P5" s="2">
        <v>68.0</v>
      </c>
      <c r="Q5" s="101">
        <f t="shared" ref="Q5:Q8" si="3">AVERAGE(N5:P5)</f>
        <v>71.33333333</v>
      </c>
      <c r="R5" s="2">
        <v>6.0</v>
      </c>
      <c r="S5" s="2">
        <v>1.0</v>
      </c>
      <c r="T5" s="2">
        <v>5.0</v>
      </c>
      <c r="U5" s="101">
        <f t="shared" ref="U5:U6" si="4">AVERAGE(R5:T5)</f>
        <v>4</v>
      </c>
      <c r="V5" s="2">
        <v>45.0</v>
      </c>
      <c r="W5" s="2">
        <v>43.0</v>
      </c>
      <c r="X5" s="2">
        <v>48.0</v>
      </c>
      <c r="Y5" s="101">
        <f t="shared" ref="Y5:Y8" si="5">AVERAGE(V5:X5)</f>
        <v>45.33333333</v>
      </c>
    </row>
    <row r="6">
      <c r="A6" s="95" t="s">
        <v>30</v>
      </c>
      <c r="B6" s="102"/>
      <c r="C6" s="103"/>
      <c r="D6" s="103"/>
      <c r="E6" s="104"/>
      <c r="F6" s="2">
        <v>29.0</v>
      </c>
      <c r="G6" s="2">
        <v>41.0</v>
      </c>
      <c r="H6" s="2">
        <v>38.0</v>
      </c>
      <c r="I6" s="99">
        <f t="shared" si="1"/>
        <v>36</v>
      </c>
      <c r="J6" s="100">
        <v>32.0</v>
      </c>
      <c r="K6" s="2">
        <v>33.0</v>
      </c>
      <c r="L6" s="2">
        <v>26.0</v>
      </c>
      <c r="M6" s="101">
        <f t="shared" si="2"/>
        <v>30.33333333</v>
      </c>
      <c r="N6" s="2">
        <v>105.0</v>
      </c>
      <c r="O6" s="2">
        <v>112.0</v>
      </c>
      <c r="P6" s="2">
        <v>96.0</v>
      </c>
      <c r="Q6" s="101">
        <f t="shared" si="3"/>
        <v>104.3333333</v>
      </c>
      <c r="R6" s="2">
        <v>33.0</v>
      </c>
      <c r="S6" s="2">
        <v>34.0</v>
      </c>
      <c r="T6" s="2">
        <v>23.0</v>
      </c>
      <c r="U6" s="101">
        <f t="shared" si="4"/>
        <v>30</v>
      </c>
      <c r="V6" s="2">
        <v>75.0</v>
      </c>
      <c r="W6" s="2">
        <v>70.0</v>
      </c>
      <c r="X6" s="2">
        <v>63.0</v>
      </c>
      <c r="Y6" s="101">
        <f t="shared" si="5"/>
        <v>69.33333333</v>
      </c>
    </row>
    <row r="7">
      <c r="A7" s="95" t="s">
        <v>67</v>
      </c>
      <c r="B7" s="102">
        <v>4.0</v>
      </c>
      <c r="C7" s="103">
        <v>7.0</v>
      </c>
      <c r="D7" s="103">
        <v>9.0</v>
      </c>
      <c r="E7" s="104">
        <f t="shared" ref="E7:E9" si="6">AVERAGE(B7:D7)</f>
        <v>6.666666667</v>
      </c>
      <c r="F7" s="2">
        <v>2.0</v>
      </c>
      <c r="G7" s="2">
        <v>2.0</v>
      </c>
      <c r="H7" s="2">
        <v>1.0</v>
      </c>
      <c r="I7" s="99">
        <f t="shared" si="1"/>
        <v>1.666666667</v>
      </c>
      <c r="J7" s="100"/>
      <c r="M7" s="101"/>
      <c r="N7" s="2">
        <v>7.0</v>
      </c>
      <c r="O7" s="2">
        <v>5.0</v>
      </c>
      <c r="P7" s="2">
        <v>9.0</v>
      </c>
      <c r="Q7" s="99">
        <f t="shared" si="3"/>
        <v>7</v>
      </c>
      <c r="R7" s="100"/>
      <c r="U7" s="101"/>
      <c r="V7" s="2">
        <v>4.0</v>
      </c>
      <c r="W7" s="2">
        <v>4.0</v>
      </c>
      <c r="X7" s="2">
        <v>6.0</v>
      </c>
      <c r="Y7" s="101">
        <f t="shared" si="5"/>
        <v>4.666666667</v>
      </c>
    </row>
    <row r="8">
      <c r="A8" s="95" t="s">
        <v>33</v>
      </c>
      <c r="B8" s="102">
        <v>79.0</v>
      </c>
      <c r="C8" s="103">
        <v>70.0</v>
      </c>
      <c r="D8" s="103">
        <v>83.0</v>
      </c>
      <c r="E8" s="104">
        <f t="shared" si="6"/>
        <v>77.33333333</v>
      </c>
      <c r="F8" s="2">
        <v>5.0</v>
      </c>
      <c r="G8" s="2">
        <v>12.0</v>
      </c>
      <c r="H8" s="2">
        <v>10.0</v>
      </c>
      <c r="I8" s="99">
        <f t="shared" si="1"/>
        <v>9</v>
      </c>
      <c r="J8" s="139">
        <v>13.0</v>
      </c>
      <c r="K8" s="140">
        <v>10.0</v>
      </c>
      <c r="L8" s="140">
        <v>15.0</v>
      </c>
      <c r="M8" s="101">
        <f>AVERAGE(J8:L8)</f>
        <v>12.66666667</v>
      </c>
      <c r="N8" s="2">
        <v>1.0</v>
      </c>
      <c r="O8" s="2">
        <v>0.0</v>
      </c>
      <c r="P8" s="2">
        <v>3.0</v>
      </c>
      <c r="Q8" s="99">
        <f t="shared" si="3"/>
        <v>1.333333333</v>
      </c>
      <c r="R8" s="105"/>
      <c r="U8" s="106"/>
      <c r="V8" s="2">
        <v>5.0</v>
      </c>
      <c r="W8" s="2">
        <v>5.0</v>
      </c>
      <c r="X8" s="2">
        <v>9.0</v>
      </c>
      <c r="Y8" s="101">
        <f t="shared" si="5"/>
        <v>6.333333333</v>
      </c>
    </row>
    <row r="9">
      <c r="A9" s="107" t="s">
        <v>68</v>
      </c>
      <c r="B9" s="108">
        <v>2.0</v>
      </c>
      <c r="C9" s="109">
        <v>3.0</v>
      </c>
      <c r="D9" s="109">
        <v>2.0</v>
      </c>
      <c r="E9" s="110">
        <f t="shared" si="6"/>
        <v>2.333333333</v>
      </c>
      <c r="F9" s="111"/>
      <c r="G9" s="111"/>
      <c r="H9" s="111"/>
      <c r="I9" s="112"/>
      <c r="J9" s="113"/>
      <c r="K9" s="114"/>
      <c r="L9" s="114"/>
      <c r="M9" s="115"/>
      <c r="N9" s="114"/>
      <c r="O9" s="114"/>
      <c r="P9" s="111"/>
      <c r="Q9" s="114"/>
      <c r="R9" s="113"/>
      <c r="S9" s="114"/>
      <c r="T9" s="114"/>
      <c r="U9" s="115"/>
      <c r="V9" s="111"/>
      <c r="W9" s="111"/>
      <c r="X9" s="111"/>
      <c r="Y9" s="116"/>
    </row>
    <row r="11">
      <c r="A11" s="90" t="s">
        <v>58</v>
      </c>
      <c r="B11" s="91" t="s">
        <v>30</v>
      </c>
      <c r="C11" s="92"/>
      <c r="D11" s="92"/>
      <c r="E11" s="93"/>
      <c r="F11" s="11" t="s">
        <v>31</v>
      </c>
      <c r="G11" s="11"/>
      <c r="H11" s="11"/>
      <c r="I11" s="10"/>
      <c r="J11" s="12" t="s">
        <v>32</v>
      </c>
      <c r="K11" s="11"/>
      <c r="L11" s="11"/>
      <c r="M11" s="93"/>
      <c r="N11" s="92" t="s">
        <v>33</v>
      </c>
      <c r="O11" s="92"/>
      <c r="P11" s="92"/>
      <c r="Q11" s="10"/>
      <c r="R11" s="12" t="s">
        <v>34</v>
      </c>
      <c r="S11" s="11"/>
      <c r="T11" s="11"/>
      <c r="U11" s="93"/>
      <c r="V11" s="11" t="s">
        <v>35</v>
      </c>
      <c r="W11" s="11"/>
      <c r="X11" s="11"/>
      <c r="Y11" s="93"/>
    </row>
    <row r="12">
      <c r="A12" s="94" t="s">
        <v>64</v>
      </c>
      <c r="B12" s="16">
        <v>1.0</v>
      </c>
      <c r="C12" s="17">
        <v>2.0</v>
      </c>
      <c r="D12" s="17">
        <v>3.0</v>
      </c>
      <c r="E12" s="18" t="s">
        <v>65</v>
      </c>
      <c r="F12" s="17">
        <v>1.0</v>
      </c>
      <c r="G12" s="17">
        <v>2.0</v>
      </c>
      <c r="H12" s="17">
        <v>3.0</v>
      </c>
      <c r="I12" s="18" t="s">
        <v>65</v>
      </c>
      <c r="J12" s="16">
        <v>1.0</v>
      </c>
      <c r="K12" s="17">
        <v>2.0</v>
      </c>
      <c r="L12" s="17">
        <v>3.0</v>
      </c>
      <c r="M12" s="18" t="s">
        <v>65</v>
      </c>
      <c r="N12" s="17">
        <v>1.0</v>
      </c>
      <c r="O12" s="17">
        <v>2.0</v>
      </c>
      <c r="P12" s="17">
        <v>3.0</v>
      </c>
      <c r="Q12" s="18" t="s">
        <v>65</v>
      </c>
      <c r="R12" s="16">
        <v>1.0</v>
      </c>
      <c r="S12" s="17">
        <v>2.0</v>
      </c>
      <c r="T12" s="17">
        <v>3.0</v>
      </c>
      <c r="U12" s="18" t="s">
        <v>65</v>
      </c>
      <c r="V12" s="17">
        <v>1.0</v>
      </c>
      <c r="W12" s="17">
        <v>2.0</v>
      </c>
      <c r="X12" s="17">
        <v>3.0</v>
      </c>
      <c r="Y12" s="18" t="s">
        <v>65</v>
      </c>
    </row>
    <row r="13">
      <c r="A13" s="95" t="s">
        <v>66</v>
      </c>
      <c r="B13" s="100">
        <v>3.0</v>
      </c>
      <c r="C13" s="2">
        <v>2.0</v>
      </c>
      <c r="D13" s="2">
        <v>1.0</v>
      </c>
      <c r="E13" s="101">
        <f>AVERAGE(B13:D13)</f>
        <v>2</v>
      </c>
      <c r="F13" s="2">
        <v>4.0</v>
      </c>
      <c r="G13" s="2">
        <v>7.0</v>
      </c>
      <c r="H13" s="2">
        <v>3.0</v>
      </c>
      <c r="I13" s="99">
        <f t="shared" ref="I13:I14" si="7">AVERAGE(F13:H13)</f>
        <v>4.666666667</v>
      </c>
      <c r="J13" s="100">
        <v>2.0</v>
      </c>
      <c r="K13" s="2">
        <v>6.0</v>
      </c>
      <c r="L13" s="2">
        <v>4.0</v>
      </c>
      <c r="M13" s="101">
        <f t="shared" ref="M13:M14" si="8">AVERAGE(J13:L13)</f>
        <v>4</v>
      </c>
      <c r="N13" s="2">
        <v>48.0</v>
      </c>
      <c r="O13" s="2">
        <v>33.0</v>
      </c>
      <c r="P13" s="2">
        <v>38.0</v>
      </c>
      <c r="Q13" s="99">
        <f t="shared" ref="Q13:Q16" si="9">AVERAGE(N13:P13)</f>
        <v>39.66666667</v>
      </c>
      <c r="R13" s="100">
        <v>8.0</v>
      </c>
      <c r="S13" s="2">
        <v>4.0</v>
      </c>
      <c r="T13" s="2">
        <v>1.0</v>
      </c>
      <c r="U13" s="101">
        <f t="shared" ref="U13:U14" si="10">AVERAGE(R13:T13)</f>
        <v>4.333333333</v>
      </c>
      <c r="V13" s="2">
        <v>24.0</v>
      </c>
      <c r="W13" s="2">
        <v>28.0</v>
      </c>
      <c r="X13" s="2">
        <v>16.0</v>
      </c>
      <c r="Y13" s="101">
        <f t="shared" ref="Y13:Y16" si="11">AVERAGE(V13:X13)</f>
        <v>22.66666667</v>
      </c>
    </row>
    <row r="14">
      <c r="A14" s="95" t="s">
        <v>30</v>
      </c>
      <c r="B14" s="100"/>
      <c r="E14" s="101"/>
      <c r="F14" s="2">
        <v>1.0</v>
      </c>
      <c r="G14" s="2">
        <v>3.0</v>
      </c>
      <c r="H14" s="2">
        <v>3.0</v>
      </c>
      <c r="I14" s="99">
        <f t="shared" si="7"/>
        <v>2.333333333</v>
      </c>
      <c r="J14" s="100">
        <v>11.0</v>
      </c>
      <c r="K14" s="2">
        <v>5.0</v>
      </c>
      <c r="L14" s="2">
        <v>3.0</v>
      </c>
      <c r="M14" s="101">
        <f t="shared" si="8"/>
        <v>6.333333333</v>
      </c>
      <c r="N14" s="2">
        <v>39.0</v>
      </c>
      <c r="O14" s="2">
        <v>23.0</v>
      </c>
      <c r="P14" s="2">
        <v>27.0</v>
      </c>
      <c r="Q14" s="99">
        <f t="shared" si="9"/>
        <v>29.66666667</v>
      </c>
      <c r="R14" s="100">
        <v>6.0</v>
      </c>
      <c r="S14" s="2">
        <v>3.0</v>
      </c>
      <c r="T14" s="2">
        <v>6.0</v>
      </c>
      <c r="U14" s="101">
        <f t="shared" si="10"/>
        <v>5</v>
      </c>
      <c r="V14" s="2">
        <v>15.0</v>
      </c>
      <c r="W14" s="2">
        <v>15.0</v>
      </c>
      <c r="X14" s="2">
        <v>10.0</v>
      </c>
      <c r="Y14" s="101">
        <f t="shared" si="11"/>
        <v>13.33333333</v>
      </c>
    </row>
    <row r="15">
      <c r="A15" s="95" t="s">
        <v>67</v>
      </c>
      <c r="B15" s="100">
        <v>0.0</v>
      </c>
      <c r="C15" s="2">
        <v>1.0</v>
      </c>
      <c r="D15" s="2">
        <v>1.0</v>
      </c>
      <c r="E15" s="101">
        <f t="shared" ref="E15:E17" si="12">AVERAGE(B15:D15)</f>
        <v>0.6666666667</v>
      </c>
      <c r="I15" s="99"/>
      <c r="J15" s="100"/>
      <c r="M15" s="101"/>
      <c r="N15" s="2">
        <v>0.0</v>
      </c>
      <c r="O15" s="2">
        <v>4.0</v>
      </c>
      <c r="P15" s="2">
        <v>2.0</v>
      </c>
      <c r="Q15" s="99">
        <f t="shared" si="9"/>
        <v>2</v>
      </c>
      <c r="R15" s="100"/>
      <c r="U15" s="101"/>
      <c r="V15" s="2">
        <v>0.0</v>
      </c>
      <c r="W15" s="2">
        <v>0.0</v>
      </c>
      <c r="X15" s="2">
        <v>1.0</v>
      </c>
      <c r="Y15" s="101">
        <f t="shared" si="11"/>
        <v>0.3333333333</v>
      </c>
    </row>
    <row r="16">
      <c r="A16" s="95" t="s">
        <v>33</v>
      </c>
      <c r="B16" s="100">
        <v>21.0</v>
      </c>
      <c r="C16" s="2">
        <v>18.0</v>
      </c>
      <c r="D16" s="2">
        <v>15.0</v>
      </c>
      <c r="E16" s="101">
        <f t="shared" si="12"/>
        <v>18</v>
      </c>
      <c r="F16" s="141">
        <v>2.0</v>
      </c>
      <c r="G16" s="141">
        <v>1.0</v>
      </c>
      <c r="H16" s="141">
        <v>4.0</v>
      </c>
      <c r="I16" s="99">
        <f>AVERAGE(F16:H16)</f>
        <v>2.333333333</v>
      </c>
      <c r="J16" s="100">
        <v>9.0</v>
      </c>
      <c r="K16" s="2">
        <v>7.0</v>
      </c>
      <c r="L16" s="2">
        <v>11.0</v>
      </c>
      <c r="M16" s="101">
        <f>AVERAGE(J16:L16)</f>
        <v>9</v>
      </c>
      <c r="N16" s="2">
        <v>1.0</v>
      </c>
      <c r="O16" s="2">
        <v>1.0</v>
      </c>
      <c r="P16" s="2">
        <v>0.0</v>
      </c>
      <c r="Q16" s="99">
        <f t="shared" si="9"/>
        <v>0.6666666667</v>
      </c>
      <c r="R16" s="105"/>
      <c r="U16" s="106"/>
      <c r="V16" s="2">
        <v>3.0</v>
      </c>
      <c r="W16" s="2">
        <v>2.0</v>
      </c>
      <c r="X16" s="2">
        <v>2.0</v>
      </c>
      <c r="Y16" s="101">
        <f t="shared" si="11"/>
        <v>2.333333333</v>
      </c>
    </row>
    <row r="17">
      <c r="A17" s="107" t="s">
        <v>68</v>
      </c>
      <c r="B17" s="117">
        <v>3.0</v>
      </c>
      <c r="C17" s="111">
        <v>1.0</v>
      </c>
      <c r="D17" s="111">
        <v>1.0</v>
      </c>
      <c r="E17" s="116">
        <f t="shared" si="12"/>
        <v>1.666666667</v>
      </c>
      <c r="F17" s="111"/>
      <c r="G17" s="111"/>
      <c r="H17" s="111"/>
      <c r="I17" s="112"/>
      <c r="J17" s="113"/>
      <c r="K17" s="114"/>
      <c r="L17" s="114"/>
      <c r="M17" s="115"/>
      <c r="N17" s="114"/>
      <c r="O17" s="114"/>
      <c r="P17" s="114"/>
      <c r="Q17" s="114"/>
      <c r="R17" s="113"/>
      <c r="S17" s="114"/>
      <c r="T17" s="114"/>
      <c r="U17" s="115"/>
      <c r="V17" s="111"/>
      <c r="W17" s="111"/>
      <c r="X17" s="111"/>
      <c r="Y17" s="116"/>
    </row>
    <row r="21">
      <c r="A21" s="3" t="s">
        <v>69</v>
      </c>
    </row>
    <row r="22">
      <c r="A22" s="2" t="s">
        <v>63</v>
      </c>
    </row>
    <row r="23">
      <c r="A23" s="142" t="s">
        <v>54</v>
      </c>
      <c r="B23" s="91" t="s">
        <v>30</v>
      </c>
      <c r="C23" s="92"/>
      <c r="D23" s="91" t="s">
        <v>31</v>
      </c>
      <c r="E23" s="92"/>
      <c r="F23" s="91" t="s">
        <v>32</v>
      </c>
      <c r="G23" s="92"/>
      <c r="H23" s="91" t="s">
        <v>33</v>
      </c>
      <c r="I23" s="92"/>
      <c r="J23" s="91" t="s">
        <v>34</v>
      </c>
      <c r="K23" s="92"/>
      <c r="L23" s="91" t="s">
        <v>35</v>
      </c>
      <c r="M23" s="143"/>
      <c r="P23" s="91" t="s">
        <v>70</v>
      </c>
      <c r="Q23" s="92"/>
      <c r="R23" s="92"/>
      <c r="S23" s="92"/>
      <c r="T23" s="92"/>
    </row>
    <row r="24">
      <c r="A24" s="144"/>
      <c r="B24" s="145" t="s">
        <v>39</v>
      </c>
      <c r="C24" s="146" t="s">
        <v>65</v>
      </c>
      <c r="D24" s="145" t="s">
        <v>39</v>
      </c>
      <c r="E24" s="147" t="s">
        <v>65</v>
      </c>
      <c r="F24" s="145" t="s">
        <v>39</v>
      </c>
      <c r="G24" s="146" t="s">
        <v>65</v>
      </c>
      <c r="H24" s="145" t="s">
        <v>39</v>
      </c>
      <c r="I24" s="147" t="s">
        <v>65</v>
      </c>
      <c r="J24" s="145" t="s">
        <v>39</v>
      </c>
      <c r="K24" s="146" t="s">
        <v>65</v>
      </c>
      <c r="L24" s="145" t="s">
        <v>39</v>
      </c>
      <c r="M24" s="146" t="s">
        <v>65</v>
      </c>
      <c r="P24" s="16" t="s">
        <v>39</v>
      </c>
      <c r="Q24" s="17" t="s">
        <v>71</v>
      </c>
      <c r="R24" s="17" t="s">
        <v>72</v>
      </c>
      <c r="S24" s="17" t="s">
        <v>73</v>
      </c>
      <c r="T24" s="18" t="s">
        <v>74</v>
      </c>
    </row>
    <row r="25">
      <c r="A25" s="144"/>
      <c r="B25" s="148" t="s">
        <v>5</v>
      </c>
      <c r="C25" s="121">
        <v>7.33333333333333</v>
      </c>
      <c r="D25" s="149" t="s">
        <v>5</v>
      </c>
      <c r="E25" s="134">
        <v>6.66666666666667</v>
      </c>
      <c r="F25" s="148" t="s">
        <v>5</v>
      </c>
      <c r="G25" s="121">
        <v>2.33333333333333</v>
      </c>
      <c r="H25" s="149" t="s">
        <v>5</v>
      </c>
      <c r="I25" s="134">
        <v>19.3333333333333</v>
      </c>
      <c r="J25" s="148" t="s">
        <v>5</v>
      </c>
      <c r="K25" s="121">
        <v>3.33333333333333</v>
      </c>
      <c r="L25" s="149" t="s">
        <v>5</v>
      </c>
      <c r="M25" s="121">
        <v>12.6666666666667</v>
      </c>
      <c r="N25" s="99"/>
      <c r="O25" s="2">
        <v>25.0</v>
      </c>
      <c r="P25" s="88" t="s">
        <v>5</v>
      </c>
      <c r="Q25" s="123">
        <f t="shared" ref="Q25:Q48" si="13">SUM(C25,E25,G25,I25,K25,M25)/6</f>
        <v>8.611111111</v>
      </c>
      <c r="R25" s="124">
        <f t="shared" ref="R25:R49" si="14">Q25/O25</f>
        <v>0.3444444444</v>
      </c>
      <c r="S25" s="125">
        <f t="shared" ref="S25:S48" si="15">SUM(C51,E51,G51,I51,K51,M51)/6</f>
        <v>0.9444444444</v>
      </c>
      <c r="T25" s="126">
        <f t="shared" ref="T25:T48" si="16">S25/O25</f>
        <v>0.03777777778</v>
      </c>
    </row>
    <row r="26">
      <c r="A26" s="144"/>
      <c r="B26" s="150" t="s">
        <v>11</v>
      </c>
      <c r="C26" s="127">
        <v>1.66666666666667</v>
      </c>
      <c r="D26" s="151" t="s">
        <v>11</v>
      </c>
      <c r="E26" s="135">
        <v>1.33333333333333</v>
      </c>
      <c r="F26" s="150" t="s">
        <v>11</v>
      </c>
      <c r="G26" s="127">
        <v>1.33333333333333</v>
      </c>
      <c r="H26" s="151" t="s">
        <v>11</v>
      </c>
      <c r="I26" s="135">
        <v>5.33333333333333</v>
      </c>
      <c r="J26" s="150" t="s">
        <v>11</v>
      </c>
      <c r="K26" s="127">
        <v>2.0</v>
      </c>
      <c r="L26" s="151" t="s">
        <v>11</v>
      </c>
      <c r="M26" s="127">
        <v>5.0</v>
      </c>
      <c r="N26" s="99"/>
      <c r="O26" s="2">
        <v>19.0</v>
      </c>
      <c r="P26" s="88" t="s">
        <v>11</v>
      </c>
      <c r="Q26" s="123">
        <f t="shared" si="13"/>
        <v>2.777777778</v>
      </c>
      <c r="R26" s="124">
        <f t="shared" si="14"/>
        <v>0.1461988304</v>
      </c>
      <c r="S26" s="125">
        <f t="shared" si="15"/>
        <v>1.944444444</v>
      </c>
      <c r="T26" s="126">
        <f t="shared" si="16"/>
        <v>0.1023391813</v>
      </c>
    </row>
    <row r="27">
      <c r="A27" s="144"/>
      <c r="B27" s="150" t="s">
        <v>7</v>
      </c>
      <c r="C27" s="127">
        <v>11.3333333333333</v>
      </c>
      <c r="D27" s="151" t="s">
        <v>7</v>
      </c>
      <c r="E27" s="135">
        <v>4.66666666666667</v>
      </c>
      <c r="F27" s="150" t="s">
        <v>7</v>
      </c>
      <c r="G27" s="127">
        <v>3.0</v>
      </c>
      <c r="H27" s="151" t="s">
        <v>7</v>
      </c>
      <c r="I27" s="135">
        <v>6.66666666666667</v>
      </c>
      <c r="J27" s="150" t="s">
        <v>7</v>
      </c>
      <c r="K27" s="127">
        <v>3.33333333333333</v>
      </c>
      <c r="L27" s="151" t="s">
        <v>7</v>
      </c>
      <c r="M27" s="127">
        <v>8.66666666666667</v>
      </c>
      <c r="N27" s="128"/>
      <c r="O27" s="2">
        <v>24.0</v>
      </c>
      <c r="P27" s="88" t="s">
        <v>7</v>
      </c>
      <c r="Q27" s="123">
        <f t="shared" si="13"/>
        <v>6.277777778</v>
      </c>
      <c r="R27" s="124">
        <f t="shared" si="14"/>
        <v>0.2615740741</v>
      </c>
      <c r="S27" s="125">
        <f t="shared" si="15"/>
        <v>1.5</v>
      </c>
      <c r="T27" s="126">
        <f t="shared" si="16"/>
        <v>0.0625</v>
      </c>
    </row>
    <row r="28">
      <c r="A28" s="144"/>
      <c r="B28" s="150" t="s">
        <v>8</v>
      </c>
      <c r="C28" s="127">
        <v>3.66666666666667</v>
      </c>
      <c r="D28" s="151" t="s">
        <v>8</v>
      </c>
      <c r="E28" s="135">
        <v>1.33333333333333</v>
      </c>
      <c r="F28" s="150" t="s">
        <v>8</v>
      </c>
      <c r="G28" s="127">
        <v>3.33333333333333</v>
      </c>
      <c r="H28" s="151" t="s">
        <v>8</v>
      </c>
      <c r="I28" s="135">
        <v>4.33333333333333</v>
      </c>
      <c r="J28" s="150" t="s">
        <v>8</v>
      </c>
      <c r="K28" s="127">
        <v>0.333333333333333</v>
      </c>
      <c r="L28" s="151" t="s">
        <v>8</v>
      </c>
      <c r="M28" s="127">
        <v>2.0</v>
      </c>
      <c r="N28" s="128"/>
      <c r="O28" s="2">
        <v>22.0</v>
      </c>
      <c r="P28" s="88" t="s">
        <v>8</v>
      </c>
      <c r="Q28" s="123">
        <f t="shared" si="13"/>
        <v>2.5</v>
      </c>
      <c r="R28" s="124">
        <f t="shared" si="14"/>
        <v>0.1136363636</v>
      </c>
      <c r="S28" s="125">
        <f t="shared" si="15"/>
        <v>1.333333333</v>
      </c>
      <c r="T28" s="126">
        <f t="shared" si="16"/>
        <v>0.06060606061</v>
      </c>
    </row>
    <row r="29">
      <c r="A29" s="144"/>
      <c r="B29" s="150" t="s">
        <v>21</v>
      </c>
      <c r="C29" s="127">
        <v>0.333333333333333</v>
      </c>
      <c r="D29" s="151" t="s">
        <v>21</v>
      </c>
      <c r="E29" s="135">
        <v>0.0</v>
      </c>
      <c r="F29" s="150" t="s">
        <v>21</v>
      </c>
      <c r="G29" s="127">
        <v>0.0</v>
      </c>
      <c r="H29" s="151" t="s">
        <v>21</v>
      </c>
      <c r="I29" s="135">
        <v>0.0</v>
      </c>
      <c r="J29" s="150" t="s">
        <v>21</v>
      </c>
      <c r="K29" s="127">
        <v>0.0</v>
      </c>
      <c r="L29" s="151" t="s">
        <v>21</v>
      </c>
      <c r="M29" s="127">
        <v>0.0</v>
      </c>
      <c r="N29" s="128"/>
      <c r="O29" s="2">
        <v>1.0</v>
      </c>
      <c r="P29" s="88" t="s">
        <v>21</v>
      </c>
      <c r="Q29" s="123">
        <f t="shared" si="13"/>
        <v>0.05555555556</v>
      </c>
      <c r="R29" s="124">
        <f t="shared" si="14"/>
        <v>0.05555555556</v>
      </c>
      <c r="S29" s="125">
        <f t="shared" si="15"/>
        <v>0.1666666667</v>
      </c>
      <c r="T29" s="126">
        <f t="shared" si="16"/>
        <v>0.1666666667</v>
      </c>
    </row>
    <row r="30">
      <c r="A30" s="144"/>
      <c r="B30" s="131" t="s">
        <v>20</v>
      </c>
      <c r="C30" s="127">
        <v>0.0</v>
      </c>
      <c r="D30" s="135" t="s">
        <v>20</v>
      </c>
      <c r="E30" s="135">
        <v>0.0</v>
      </c>
      <c r="F30" s="131" t="s">
        <v>20</v>
      </c>
      <c r="G30" s="127">
        <v>0.0</v>
      </c>
      <c r="H30" s="135" t="s">
        <v>20</v>
      </c>
      <c r="I30" s="135">
        <v>0.0</v>
      </c>
      <c r="J30" s="131" t="s">
        <v>20</v>
      </c>
      <c r="K30" s="127">
        <v>0.0</v>
      </c>
      <c r="L30" s="135" t="s">
        <v>20</v>
      </c>
      <c r="M30" s="127">
        <v>0.333333333333333</v>
      </c>
      <c r="N30" s="99"/>
      <c r="O30" s="2">
        <v>2.0</v>
      </c>
      <c r="P30" s="88" t="s">
        <v>20</v>
      </c>
      <c r="Q30" s="123">
        <f t="shared" si="13"/>
        <v>0.05555555556</v>
      </c>
      <c r="R30" s="124">
        <f t="shared" si="14"/>
        <v>0.02777777778</v>
      </c>
      <c r="S30" s="125">
        <f t="shared" si="15"/>
        <v>0.05555555556</v>
      </c>
      <c r="T30" s="126">
        <f t="shared" si="16"/>
        <v>0.02777777778</v>
      </c>
    </row>
    <row r="31">
      <c r="A31" s="144"/>
      <c r="B31" s="150" t="s">
        <v>13</v>
      </c>
      <c r="C31" s="127">
        <v>8.0</v>
      </c>
      <c r="D31" s="151" t="s">
        <v>13</v>
      </c>
      <c r="E31" s="135">
        <v>8.0</v>
      </c>
      <c r="F31" s="150" t="s">
        <v>13</v>
      </c>
      <c r="G31" s="127">
        <v>1.33333333333333</v>
      </c>
      <c r="H31" s="151" t="s">
        <v>13</v>
      </c>
      <c r="I31" s="135">
        <v>12.3333333333333</v>
      </c>
      <c r="J31" s="150" t="s">
        <v>13</v>
      </c>
      <c r="K31" s="127">
        <v>3.33333333333333</v>
      </c>
      <c r="L31" s="151" t="s">
        <v>13</v>
      </c>
      <c r="M31" s="127">
        <v>6.33333333333333</v>
      </c>
      <c r="N31" s="99"/>
      <c r="O31" s="2">
        <v>13.0</v>
      </c>
      <c r="P31" s="88" t="s">
        <v>13</v>
      </c>
      <c r="Q31" s="123">
        <f t="shared" si="13"/>
        <v>6.555555556</v>
      </c>
      <c r="R31" s="124">
        <f t="shared" si="14"/>
        <v>0.5042735043</v>
      </c>
      <c r="S31" s="125">
        <f t="shared" si="15"/>
        <v>1.055555556</v>
      </c>
      <c r="T31" s="126">
        <f t="shared" si="16"/>
        <v>0.0811965812</v>
      </c>
    </row>
    <row r="32">
      <c r="A32" s="144"/>
      <c r="B32" s="150" t="s">
        <v>14</v>
      </c>
      <c r="C32" s="127">
        <v>7.0</v>
      </c>
      <c r="D32" s="151" t="s">
        <v>14</v>
      </c>
      <c r="E32" s="135">
        <v>2.33333333333333</v>
      </c>
      <c r="F32" s="150" t="s">
        <v>14</v>
      </c>
      <c r="G32" s="127">
        <v>2.33333333333333</v>
      </c>
      <c r="H32" s="151" t="s">
        <v>14</v>
      </c>
      <c r="I32" s="135">
        <v>14.6666666666667</v>
      </c>
      <c r="J32" s="150" t="s">
        <v>14</v>
      </c>
      <c r="K32" s="127">
        <v>2.66666666666667</v>
      </c>
      <c r="L32" s="151" t="s">
        <v>14</v>
      </c>
      <c r="M32" s="127">
        <v>13.0</v>
      </c>
      <c r="N32" s="99"/>
      <c r="O32" s="2">
        <v>11.0</v>
      </c>
      <c r="P32" s="88" t="s">
        <v>14</v>
      </c>
      <c r="Q32" s="123">
        <f t="shared" si="13"/>
        <v>7</v>
      </c>
      <c r="R32" s="124">
        <f t="shared" si="14"/>
        <v>0.6363636364</v>
      </c>
      <c r="S32" s="125">
        <f t="shared" si="15"/>
        <v>0.7777777778</v>
      </c>
      <c r="T32" s="126">
        <f t="shared" si="16"/>
        <v>0.07070707071</v>
      </c>
    </row>
    <row r="33">
      <c r="A33" s="144"/>
      <c r="B33" s="150" t="s">
        <v>2</v>
      </c>
      <c r="C33" s="127">
        <v>9.0</v>
      </c>
      <c r="D33" s="151" t="s">
        <v>2</v>
      </c>
      <c r="E33" s="135">
        <v>3.0</v>
      </c>
      <c r="F33" s="150" t="s">
        <v>2</v>
      </c>
      <c r="G33" s="127">
        <v>5.33333333333333</v>
      </c>
      <c r="H33" s="151" t="s">
        <v>2</v>
      </c>
      <c r="I33" s="135">
        <v>11.0</v>
      </c>
      <c r="J33" s="150" t="s">
        <v>2</v>
      </c>
      <c r="K33" s="127">
        <v>1.33333333333333</v>
      </c>
      <c r="L33" s="151" t="s">
        <v>2</v>
      </c>
      <c r="M33" s="127">
        <v>9.66666666666667</v>
      </c>
      <c r="N33" s="99"/>
      <c r="O33" s="2">
        <v>31.0</v>
      </c>
      <c r="P33" s="88" t="s">
        <v>2</v>
      </c>
      <c r="Q33" s="123">
        <f t="shared" si="13"/>
        <v>6.555555556</v>
      </c>
      <c r="R33" s="124">
        <f t="shared" si="14"/>
        <v>0.2114695341</v>
      </c>
      <c r="S33" s="125">
        <f t="shared" si="15"/>
        <v>1.277777778</v>
      </c>
      <c r="T33" s="126">
        <f t="shared" si="16"/>
        <v>0.04121863799</v>
      </c>
    </row>
    <row r="34">
      <c r="A34" s="144"/>
      <c r="B34" s="150" t="s">
        <v>22</v>
      </c>
      <c r="C34" s="127">
        <v>0.333333333333333</v>
      </c>
      <c r="D34" s="151" t="s">
        <v>22</v>
      </c>
      <c r="E34" s="135">
        <v>0.0</v>
      </c>
      <c r="F34" s="150" t="s">
        <v>22</v>
      </c>
      <c r="G34" s="127">
        <v>0.666666666666667</v>
      </c>
      <c r="H34" s="151" t="s">
        <v>22</v>
      </c>
      <c r="I34" s="135">
        <v>1.33333333333333</v>
      </c>
      <c r="J34" s="150" t="s">
        <v>22</v>
      </c>
      <c r="K34" s="127">
        <v>0.0</v>
      </c>
      <c r="L34" s="151" t="s">
        <v>22</v>
      </c>
      <c r="M34" s="127">
        <v>0.333333333333333</v>
      </c>
      <c r="N34" s="99"/>
      <c r="O34" s="2">
        <v>1.0</v>
      </c>
      <c r="P34" s="88" t="s">
        <v>22</v>
      </c>
      <c r="Q34" s="123">
        <f t="shared" si="13"/>
        <v>0.4444444444</v>
      </c>
      <c r="R34" s="124">
        <f t="shared" si="14"/>
        <v>0.4444444444</v>
      </c>
      <c r="S34" s="125">
        <f t="shared" si="15"/>
        <v>1.055555556</v>
      </c>
      <c r="T34" s="126">
        <f t="shared" si="16"/>
        <v>1.055555556</v>
      </c>
    </row>
    <row r="35">
      <c r="A35" s="144"/>
      <c r="B35" s="131" t="s">
        <v>23</v>
      </c>
      <c r="C35" s="127">
        <v>0.0</v>
      </c>
      <c r="D35" s="135" t="s">
        <v>23</v>
      </c>
      <c r="E35" s="135">
        <v>0.0</v>
      </c>
      <c r="F35" s="131" t="s">
        <v>23</v>
      </c>
      <c r="G35" s="127">
        <v>0.0</v>
      </c>
      <c r="H35" s="135" t="s">
        <v>23</v>
      </c>
      <c r="I35" s="135">
        <v>0.0</v>
      </c>
      <c r="J35" s="131" t="s">
        <v>23</v>
      </c>
      <c r="K35" s="127">
        <v>0.0</v>
      </c>
      <c r="L35" s="135" t="s">
        <v>23</v>
      </c>
      <c r="M35" s="127">
        <v>0.0</v>
      </c>
      <c r="N35" s="99"/>
      <c r="O35" s="2">
        <v>1.0</v>
      </c>
      <c r="P35" s="88" t="s">
        <v>23</v>
      </c>
      <c r="Q35" s="123">
        <f t="shared" si="13"/>
        <v>0</v>
      </c>
      <c r="R35" s="124">
        <f t="shared" si="14"/>
        <v>0</v>
      </c>
      <c r="S35" s="125">
        <f t="shared" si="15"/>
        <v>0.1666666667</v>
      </c>
      <c r="T35" s="126">
        <f t="shared" si="16"/>
        <v>0.1666666667</v>
      </c>
    </row>
    <row r="36">
      <c r="A36" s="144"/>
      <c r="B36" s="131" t="s">
        <v>24</v>
      </c>
      <c r="C36" s="127">
        <v>0.0</v>
      </c>
      <c r="D36" s="135" t="s">
        <v>24</v>
      </c>
      <c r="E36" s="135">
        <v>0.0</v>
      </c>
      <c r="F36" s="131" t="s">
        <v>24</v>
      </c>
      <c r="G36" s="127">
        <v>0.0</v>
      </c>
      <c r="H36" s="135" t="s">
        <v>24</v>
      </c>
      <c r="I36" s="135">
        <v>0.0</v>
      </c>
      <c r="J36" s="131" t="s">
        <v>24</v>
      </c>
      <c r="K36" s="127">
        <v>0.0</v>
      </c>
      <c r="L36" s="135" t="s">
        <v>24</v>
      </c>
      <c r="M36" s="127">
        <v>0.0</v>
      </c>
      <c r="N36" s="99"/>
      <c r="O36" s="2">
        <v>1.0</v>
      </c>
      <c r="P36" s="88" t="s">
        <v>24</v>
      </c>
      <c r="Q36" s="123">
        <f t="shared" si="13"/>
        <v>0</v>
      </c>
      <c r="R36" s="124">
        <f t="shared" si="14"/>
        <v>0</v>
      </c>
      <c r="S36" s="125">
        <f t="shared" si="15"/>
        <v>0</v>
      </c>
      <c r="T36" s="126">
        <f t="shared" si="16"/>
        <v>0</v>
      </c>
    </row>
    <row r="37">
      <c r="A37" s="144"/>
      <c r="B37" s="150" t="s">
        <v>19</v>
      </c>
      <c r="C37" s="127">
        <v>2.0</v>
      </c>
      <c r="D37" s="151" t="s">
        <v>19</v>
      </c>
      <c r="E37" s="135">
        <v>0.333333333333333</v>
      </c>
      <c r="F37" s="150" t="s">
        <v>19</v>
      </c>
      <c r="G37" s="127">
        <v>1.33333333333333</v>
      </c>
      <c r="H37" s="151" t="s">
        <v>19</v>
      </c>
      <c r="I37" s="135">
        <v>2.33333333333333</v>
      </c>
      <c r="J37" s="150" t="s">
        <v>19</v>
      </c>
      <c r="K37" s="127">
        <v>0.333333333333333</v>
      </c>
      <c r="L37" s="151" t="s">
        <v>19</v>
      </c>
      <c r="M37" s="127">
        <v>3.0</v>
      </c>
      <c r="N37" s="99"/>
      <c r="O37" s="2">
        <v>4.0</v>
      </c>
      <c r="P37" s="88" t="s">
        <v>19</v>
      </c>
      <c r="Q37" s="123">
        <f t="shared" si="13"/>
        <v>1.555555556</v>
      </c>
      <c r="R37" s="124">
        <f t="shared" si="14"/>
        <v>0.3888888889</v>
      </c>
      <c r="S37" s="125">
        <f t="shared" si="15"/>
        <v>0.1666666667</v>
      </c>
      <c r="T37" s="126">
        <f t="shared" si="16"/>
        <v>0.04166666667</v>
      </c>
    </row>
    <row r="38">
      <c r="A38" s="144"/>
      <c r="B38" s="150" t="s">
        <v>15</v>
      </c>
      <c r="C38" s="127">
        <v>0.333333333333333</v>
      </c>
      <c r="D38" s="151" t="s">
        <v>15</v>
      </c>
      <c r="E38" s="135">
        <v>7.66666666666667</v>
      </c>
      <c r="F38" s="150" t="s">
        <v>15</v>
      </c>
      <c r="G38" s="127">
        <v>0.333333333333333</v>
      </c>
      <c r="H38" s="151" t="s">
        <v>15</v>
      </c>
      <c r="I38" s="135">
        <v>4.66666666666667</v>
      </c>
      <c r="J38" s="150" t="s">
        <v>15</v>
      </c>
      <c r="K38" s="127">
        <v>3.33333333333333</v>
      </c>
      <c r="L38" s="151" t="s">
        <v>15</v>
      </c>
      <c r="M38" s="127">
        <v>2.0</v>
      </c>
      <c r="N38" s="99"/>
      <c r="O38" s="2">
        <v>10.0</v>
      </c>
      <c r="P38" s="88" t="s">
        <v>15</v>
      </c>
      <c r="Q38" s="123">
        <f t="shared" si="13"/>
        <v>3.055555556</v>
      </c>
      <c r="R38" s="124">
        <f t="shared" si="14"/>
        <v>0.3055555556</v>
      </c>
      <c r="S38" s="125">
        <f t="shared" si="15"/>
        <v>0.5555555556</v>
      </c>
      <c r="T38" s="126">
        <f t="shared" si="16"/>
        <v>0.05555555556</v>
      </c>
    </row>
    <row r="39">
      <c r="A39" s="144"/>
      <c r="B39" s="150" t="s">
        <v>6</v>
      </c>
      <c r="C39" s="127">
        <v>4.0</v>
      </c>
      <c r="D39" s="151" t="s">
        <v>6</v>
      </c>
      <c r="E39" s="135">
        <v>1.33333333333333</v>
      </c>
      <c r="F39" s="150" t="s">
        <v>6</v>
      </c>
      <c r="G39" s="127">
        <v>5.0</v>
      </c>
      <c r="H39" s="151" t="s">
        <v>6</v>
      </c>
      <c r="I39" s="135">
        <v>16.3333333333333</v>
      </c>
      <c r="J39" s="150" t="s">
        <v>6</v>
      </c>
      <c r="K39" s="127">
        <v>2.33333333333333</v>
      </c>
      <c r="L39" s="151" t="s">
        <v>6</v>
      </c>
      <c r="M39" s="127">
        <v>11.3333333333333</v>
      </c>
      <c r="N39" s="99"/>
      <c r="O39" s="2">
        <v>25.0</v>
      </c>
      <c r="P39" s="88" t="s">
        <v>6</v>
      </c>
      <c r="Q39" s="123">
        <f t="shared" si="13"/>
        <v>6.722222222</v>
      </c>
      <c r="R39" s="124">
        <f t="shared" si="14"/>
        <v>0.2688888889</v>
      </c>
      <c r="S39" s="125">
        <f t="shared" si="15"/>
        <v>2.111111111</v>
      </c>
      <c r="T39" s="126">
        <f t="shared" si="16"/>
        <v>0.08444444444</v>
      </c>
    </row>
    <row r="40">
      <c r="A40" s="144"/>
      <c r="B40" s="150" t="s">
        <v>16</v>
      </c>
      <c r="C40" s="127">
        <v>2.33333333333333</v>
      </c>
      <c r="D40" s="151" t="s">
        <v>16</v>
      </c>
      <c r="E40" s="135">
        <v>0.0</v>
      </c>
      <c r="F40" s="150" t="s">
        <v>16</v>
      </c>
      <c r="G40" s="127">
        <v>1.66666666666667</v>
      </c>
      <c r="H40" s="151" t="s">
        <v>16</v>
      </c>
      <c r="I40" s="135">
        <v>9.0</v>
      </c>
      <c r="J40" s="150" t="s">
        <v>16</v>
      </c>
      <c r="K40" s="127">
        <v>0.0</v>
      </c>
      <c r="L40" s="151" t="s">
        <v>16</v>
      </c>
      <c r="M40" s="127">
        <v>5.33333333333333</v>
      </c>
      <c r="N40" s="99"/>
      <c r="O40" s="2">
        <v>9.0</v>
      </c>
      <c r="P40" s="88" t="s">
        <v>16</v>
      </c>
      <c r="Q40" s="123">
        <f t="shared" si="13"/>
        <v>3.055555556</v>
      </c>
      <c r="R40" s="124">
        <f t="shared" si="14"/>
        <v>0.3395061728</v>
      </c>
      <c r="S40" s="125">
        <f t="shared" si="15"/>
        <v>1.944444444</v>
      </c>
      <c r="T40" s="126">
        <f t="shared" si="16"/>
        <v>0.2160493827</v>
      </c>
    </row>
    <row r="41">
      <c r="A41" s="144"/>
      <c r="B41" s="150" t="s">
        <v>18</v>
      </c>
      <c r="C41" s="127">
        <v>0.666666666666667</v>
      </c>
      <c r="D41" s="151" t="s">
        <v>18</v>
      </c>
      <c r="E41" s="135">
        <v>0.0</v>
      </c>
      <c r="F41" s="150" t="s">
        <v>18</v>
      </c>
      <c r="G41" s="127">
        <v>0.0</v>
      </c>
      <c r="H41" s="151" t="s">
        <v>18</v>
      </c>
      <c r="I41" s="135">
        <v>2.0</v>
      </c>
      <c r="J41" s="150" t="s">
        <v>18</v>
      </c>
      <c r="K41" s="127">
        <v>0.0</v>
      </c>
      <c r="L41" s="151" t="s">
        <v>18</v>
      </c>
      <c r="M41" s="127">
        <v>0.666666666666667</v>
      </c>
      <c r="N41" s="99"/>
      <c r="O41" s="2">
        <v>5.0</v>
      </c>
      <c r="P41" s="88" t="s">
        <v>18</v>
      </c>
      <c r="Q41" s="123">
        <f t="shared" si="13"/>
        <v>0.5555555556</v>
      </c>
      <c r="R41" s="124">
        <f t="shared" si="14"/>
        <v>0.1111111111</v>
      </c>
      <c r="S41" s="125">
        <f t="shared" si="15"/>
        <v>0.8333333333</v>
      </c>
      <c r="T41" s="126">
        <f t="shared" si="16"/>
        <v>0.1666666667</v>
      </c>
    </row>
    <row r="42">
      <c r="A42" s="144"/>
      <c r="B42" s="150" t="s">
        <v>4</v>
      </c>
      <c r="C42" s="127">
        <v>2.66666666666667</v>
      </c>
      <c r="D42" s="151" t="s">
        <v>4</v>
      </c>
      <c r="E42" s="135">
        <v>0.666666666666667</v>
      </c>
      <c r="F42" s="150" t="s">
        <v>4</v>
      </c>
      <c r="G42" s="127">
        <v>0.0</v>
      </c>
      <c r="H42" s="151" t="s">
        <v>4</v>
      </c>
      <c r="I42" s="135">
        <v>9.33333333333333</v>
      </c>
      <c r="J42" s="150" t="s">
        <v>4</v>
      </c>
      <c r="K42" s="127">
        <v>2.33333333333333</v>
      </c>
      <c r="L42" s="151" t="s">
        <v>4</v>
      </c>
      <c r="M42" s="127">
        <v>3.66666666666667</v>
      </c>
      <c r="N42" s="99"/>
      <c r="O42" s="2">
        <v>27.0</v>
      </c>
      <c r="P42" s="88" t="s">
        <v>4</v>
      </c>
      <c r="Q42" s="123">
        <f t="shared" si="13"/>
        <v>3.111111111</v>
      </c>
      <c r="R42" s="124">
        <f t="shared" si="14"/>
        <v>0.1152263374</v>
      </c>
      <c r="S42" s="125">
        <f t="shared" si="15"/>
        <v>4.833333333</v>
      </c>
      <c r="T42" s="126">
        <f t="shared" si="16"/>
        <v>0.1790123457</v>
      </c>
    </row>
    <row r="43">
      <c r="A43" s="144"/>
      <c r="B43" s="150" t="s">
        <v>3</v>
      </c>
      <c r="C43" s="127">
        <v>17.6666666666667</v>
      </c>
      <c r="D43" s="151" t="s">
        <v>3</v>
      </c>
      <c r="E43" s="135">
        <v>5.66666666666667</v>
      </c>
      <c r="F43" s="150" t="s">
        <v>3</v>
      </c>
      <c r="G43" s="127">
        <v>2.66666666666667</v>
      </c>
      <c r="H43" s="151" t="s">
        <v>3</v>
      </c>
      <c r="I43" s="135">
        <v>39.6666666666667</v>
      </c>
      <c r="J43" s="150" t="s">
        <v>3</v>
      </c>
      <c r="K43" s="127">
        <v>4.0</v>
      </c>
      <c r="L43" s="151" t="s">
        <v>3</v>
      </c>
      <c r="M43" s="127">
        <v>29.0</v>
      </c>
      <c r="N43" s="99"/>
      <c r="O43" s="2">
        <v>28.0</v>
      </c>
      <c r="P43" s="88" t="s">
        <v>3</v>
      </c>
      <c r="Q43" s="123">
        <f t="shared" si="13"/>
        <v>16.44444444</v>
      </c>
      <c r="R43" s="124">
        <f t="shared" si="14"/>
        <v>0.5873015873</v>
      </c>
      <c r="S43" s="125">
        <f t="shared" si="15"/>
        <v>1.5</v>
      </c>
      <c r="T43" s="126">
        <f t="shared" si="16"/>
        <v>0.05357142857</v>
      </c>
    </row>
    <row r="44">
      <c r="A44" s="144"/>
      <c r="B44" s="150" t="s">
        <v>12</v>
      </c>
      <c r="C44" s="127">
        <v>2.66666666666667</v>
      </c>
      <c r="D44" s="151" t="s">
        <v>12</v>
      </c>
      <c r="E44" s="135">
        <v>2.66666666666667</v>
      </c>
      <c r="F44" s="150" t="s">
        <v>12</v>
      </c>
      <c r="G44" s="127">
        <v>3.66666666666667</v>
      </c>
      <c r="H44" s="151" t="s">
        <v>12</v>
      </c>
      <c r="I44" s="135">
        <v>4.66666666666667</v>
      </c>
      <c r="J44" s="150" t="s">
        <v>12</v>
      </c>
      <c r="K44" s="127">
        <v>0.666666666666667</v>
      </c>
      <c r="L44" s="151" t="s">
        <v>12</v>
      </c>
      <c r="M44" s="127">
        <v>2.66666666666667</v>
      </c>
      <c r="N44" s="99"/>
      <c r="O44" s="2">
        <v>18.0</v>
      </c>
      <c r="P44" s="88" t="s">
        <v>12</v>
      </c>
      <c r="Q44" s="123">
        <f t="shared" si="13"/>
        <v>2.833333333</v>
      </c>
      <c r="R44" s="124">
        <f t="shared" si="14"/>
        <v>0.1574074074</v>
      </c>
      <c r="S44" s="125">
        <f t="shared" si="15"/>
        <v>1.777777778</v>
      </c>
      <c r="T44" s="126">
        <f t="shared" si="16"/>
        <v>0.0987654321</v>
      </c>
    </row>
    <row r="45">
      <c r="A45" s="144"/>
      <c r="B45" s="150" t="s">
        <v>9</v>
      </c>
      <c r="C45" s="127">
        <v>2.33333333333333</v>
      </c>
      <c r="D45" s="151" t="s">
        <v>9</v>
      </c>
      <c r="E45" s="135">
        <v>1.0</v>
      </c>
      <c r="F45" s="150" t="s">
        <v>9</v>
      </c>
      <c r="G45" s="127">
        <v>4.0</v>
      </c>
      <c r="H45" s="151" t="s">
        <v>9</v>
      </c>
      <c r="I45" s="135">
        <v>6.33333333333333</v>
      </c>
      <c r="J45" s="150" t="s">
        <v>9</v>
      </c>
      <c r="K45" s="127">
        <v>0.666666666666667</v>
      </c>
      <c r="L45" s="151" t="s">
        <v>9</v>
      </c>
      <c r="M45" s="127">
        <v>3.33333333333333</v>
      </c>
      <c r="N45" s="99"/>
      <c r="O45" s="2">
        <v>22.0</v>
      </c>
      <c r="P45" s="88" t="s">
        <v>9</v>
      </c>
      <c r="Q45" s="123">
        <f t="shared" si="13"/>
        <v>2.944444444</v>
      </c>
      <c r="R45" s="124">
        <f t="shared" si="14"/>
        <v>0.1338383838</v>
      </c>
      <c r="S45" s="125">
        <f t="shared" si="15"/>
        <v>1.777777778</v>
      </c>
      <c r="T45" s="126">
        <f t="shared" si="16"/>
        <v>0.08080808081</v>
      </c>
    </row>
    <row r="46">
      <c r="A46" s="144"/>
      <c r="B46" s="150" t="s">
        <v>26</v>
      </c>
      <c r="C46" s="127">
        <v>0.666666666666667</v>
      </c>
      <c r="D46" s="151" t="s">
        <v>26</v>
      </c>
      <c r="E46" s="135">
        <v>0.0</v>
      </c>
      <c r="F46" s="150" t="s">
        <v>26</v>
      </c>
      <c r="G46" s="127">
        <v>0.0</v>
      </c>
      <c r="H46" s="151" t="s">
        <v>26</v>
      </c>
      <c r="I46" s="135">
        <v>1.33333333333333</v>
      </c>
      <c r="J46" s="150" t="s">
        <v>26</v>
      </c>
      <c r="K46" s="127">
        <v>0.0</v>
      </c>
      <c r="L46" s="151" t="s">
        <v>26</v>
      </c>
      <c r="M46" s="127">
        <v>0.0</v>
      </c>
      <c r="N46" s="99"/>
      <c r="O46" s="2">
        <v>1.0</v>
      </c>
      <c r="P46" s="88" t="s">
        <v>26</v>
      </c>
      <c r="Q46" s="123">
        <f t="shared" si="13"/>
        <v>0.3333333333</v>
      </c>
      <c r="R46" s="124">
        <f t="shared" si="14"/>
        <v>0.3333333333</v>
      </c>
      <c r="S46" s="125">
        <f t="shared" si="15"/>
        <v>0.05555555556</v>
      </c>
      <c r="T46" s="126">
        <f t="shared" si="16"/>
        <v>0.05555555556</v>
      </c>
    </row>
    <row r="47">
      <c r="A47" s="144"/>
      <c r="B47" s="150" t="s">
        <v>17</v>
      </c>
      <c r="C47" s="127">
        <v>0.666666666666667</v>
      </c>
      <c r="D47" s="151" t="s">
        <v>17</v>
      </c>
      <c r="E47" s="135">
        <v>0.0</v>
      </c>
      <c r="F47" s="150" t="s">
        <v>17</v>
      </c>
      <c r="G47" s="127">
        <v>1.33333333333333</v>
      </c>
      <c r="H47" s="151" t="s">
        <v>17</v>
      </c>
      <c r="I47" s="135">
        <v>1.66666666666667</v>
      </c>
      <c r="J47" s="150" t="s">
        <v>17</v>
      </c>
      <c r="K47" s="127">
        <v>1.33333333333333</v>
      </c>
      <c r="L47" s="151" t="s">
        <v>17</v>
      </c>
      <c r="M47" s="127">
        <v>0.333333333333333</v>
      </c>
      <c r="N47" s="99"/>
      <c r="O47" s="2">
        <v>9.0</v>
      </c>
      <c r="P47" s="88" t="s">
        <v>17</v>
      </c>
      <c r="Q47" s="123">
        <f t="shared" si="13"/>
        <v>0.8888888889</v>
      </c>
      <c r="R47" s="124">
        <f t="shared" si="14"/>
        <v>0.0987654321</v>
      </c>
      <c r="S47" s="125">
        <f t="shared" si="15"/>
        <v>1.555555556</v>
      </c>
      <c r="T47" s="126">
        <f t="shared" si="16"/>
        <v>0.1728395062</v>
      </c>
    </row>
    <row r="48">
      <c r="A48" s="144"/>
      <c r="B48" s="150" t="s">
        <v>10</v>
      </c>
      <c r="C48" s="127">
        <v>6.66666666666667</v>
      </c>
      <c r="D48" s="151" t="s">
        <v>10</v>
      </c>
      <c r="E48" s="135">
        <v>2.33333333333333</v>
      </c>
      <c r="F48" s="150" t="s">
        <v>10</v>
      </c>
      <c r="G48" s="127">
        <v>5.33333333333333</v>
      </c>
      <c r="H48" s="151" t="s">
        <v>10</v>
      </c>
      <c r="I48" s="135">
        <v>11.6666666666667</v>
      </c>
      <c r="J48" s="150" t="s">
        <v>10</v>
      </c>
      <c r="K48" s="127">
        <v>2.66666666666667</v>
      </c>
      <c r="L48" s="151" t="s">
        <v>10</v>
      </c>
      <c r="M48" s="127">
        <v>6.33333333333333</v>
      </c>
      <c r="N48" s="99"/>
      <c r="O48" s="2">
        <v>20.0</v>
      </c>
      <c r="P48" s="88" t="s">
        <v>10</v>
      </c>
      <c r="Q48" s="123">
        <f t="shared" si="13"/>
        <v>5.833333333</v>
      </c>
      <c r="R48" s="124">
        <f t="shared" si="14"/>
        <v>0.2916666667</v>
      </c>
      <c r="S48" s="125">
        <f t="shared" si="15"/>
        <v>1.222222222</v>
      </c>
      <c r="T48" s="126">
        <f t="shared" si="16"/>
        <v>0.06111111111</v>
      </c>
    </row>
    <row r="49">
      <c r="A49" s="142" t="s">
        <v>58</v>
      </c>
      <c r="B49" s="152" t="s">
        <v>30</v>
      </c>
      <c r="C49" s="153"/>
      <c r="D49" s="152" t="s">
        <v>31</v>
      </c>
      <c r="E49" s="9"/>
      <c r="F49" s="152" t="s">
        <v>32</v>
      </c>
      <c r="G49" s="153"/>
      <c r="H49" s="152" t="s">
        <v>33</v>
      </c>
      <c r="I49" s="9"/>
      <c r="J49" s="152" t="s">
        <v>34</v>
      </c>
      <c r="K49" s="153"/>
      <c r="L49" s="152" t="s">
        <v>35</v>
      </c>
      <c r="M49" s="153"/>
      <c r="O49" s="2">
        <v>1.0</v>
      </c>
      <c r="P49" s="2" t="s">
        <v>25</v>
      </c>
      <c r="Q49" s="33">
        <v>0.0</v>
      </c>
      <c r="R49" s="124">
        <f t="shared" si="14"/>
        <v>0</v>
      </c>
      <c r="S49" s="154">
        <v>0.0</v>
      </c>
      <c r="T49" s="126">
        <f>S49/O48</f>
        <v>0</v>
      </c>
    </row>
    <row r="50">
      <c r="A50" s="144"/>
      <c r="B50" s="145" t="s">
        <v>39</v>
      </c>
      <c r="C50" s="146" t="s">
        <v>65</v>
      </c>
      <c r="D50" s="145" t="s">
        <v>39</v>
      </c>
      <c r="E50" s="147" t="s">
        <v>65</v>
      </c>
      <c r="F50" s="145" t="s">
        <v>39</v>
      </c>
      <c r="G50" s="146" t="s">
        <v>65</v>
      </c>
      <c r="H50" s="145" t="s">
        <v>39</v>
      </c>
      <c r="I50" s="147" t="s">
        <v>65</v>
      </c>
      <c r="J50" s="145" t="s">
        <v>39</v>
      </c>
      <c r="K50" s="146" t="s">
        <v>65</v>
      </c>
      <c r="L50" s="145" t="s">
        <v>39</v>
      </c>
      <c r="M50" s="146" t="s">
        <v>65</v>
      </c>
    </row>
    <row r="51">
      <c r="A51" s="144"/>
      <c r="B51" s="150" t="s">
        <v>5</v>
      </c>
      <c r="C51" s="127">
        <v>0.333333333333333</v>
      </c>
      <c r="D51" s="151" t="s">
        <v>5</v>
      </c>
      <c r="E51" s="135">
        <v>0.0</v>
      </c>
      <c r="F51" s="150" t="s">
        <v>5</v>
      </c>
      <c r="G51" s="127">
        <v>0.0</v>
      </c>
      <c r="H51" s="151" t="s">
        <v>5</v>
      </c>
      <c r="I51" s="135">
        <v>2.66666666666667</v>
      </c>
      <c r="J51" s="150" t="s">
        <v>5</v>
      </c>
      <c r="K51" s="127"/>
      <c r="L51" s="135" t="s">
        <v>5</v>
      </c>
      <c r="M51" s="127">
        <v>2.66666666666667</v>
      </c>
    </row>
    <row r="52">
      <c r="A52" s="144"/>
      <c r="B52" s="150" t="s">
        <v>11</v>
      </c>
      <c r="C52" s="127">
        <v>1.66666666666667</v>
      </c>
      <c r="D52" s="151" t="s">
        <v>11</v>
      </c>
      <c r="E52" s="135">
        <v>0.0</v>
      </c>
      <c r="F52" s="150" t="s">
        <v>11</v>
      </c>
      <c r="G52" s="127">
        <v>1.33333333333333</v>
      </c>
      <c r="H52" s="151" t="s">
        <v>11</v>
      </c>
      <c r="I52" s="135">
        <v>5.33333333333333</v>
      </c>
      <c r="J52" s="150" t="s">
        <v>11</v>
      </c>
      <c r="K52" s="127">
        <v>0.666666666666667</v>
      </c>
      <c r="L52" s="135" t="s">
        <v>11</v>
      </c>
      <c r="M52" s="127">
        <v>2.66666666666667</v>
      </c>
    </row>
    <row r="53">
      <c r="A53" s="144"/>
      <c r="B53" s="150" t="s">
        <v>7</v>
      </c>
      <c r="C53" s="127">
        <v>0.666666666666667</v>
      </c>
      <c r="D53" s="151" t="s">
        <v>7</v>
      </c>
      <c r="E53" s="135">
        <v>0.333333333333333</v>
      </c>
      <c r="F53" s="150" t="s">
        <v>7</v>
      </c>
      <c r="G53" s="127">
        <v>1.0</v>
      </c>
      <c r="H53" s="151" t="s">
        <v>7</v>
      </c>
      <c r="I53" s="135">
        <v>4.0</v>
      </c>
      <c r="J53" s="150" t="s">
        <v>7</v>
      </c>
      <c r="K53" s="127">
        <v>1.33333333333333</v>
      </c>
      <c r="L53" s="135" t="s">
        <v>7</v>
      </c>
      <c r="M53" s="127">
        <v>1.66666666666667</v>
      </c>
    </row>
    <row r="54">
      <c r="A54" s="144"/>
      <c r="B54" s="150" t="s">
        <v>8</v>
      </c>
      <c r="C54" s="127">
        <v>1.0</v>
      </c>
      <c r="D54" s="151" t="s">
        <v>8</v>
      </c>
      <c r="E54" s="135">
        <v>1.33333333333333</v>
      </c>
      <c r="F54" s="150" t="s">
        <v>8</v>
      </c>
      <c r="G54" s="127">
        <v>2.33333333333333</v>
      </c>
      <c r="H54" s="151" t="s">
        <v>8</v>
      </c>
      <c r="I54" s="135">
        <v>2.66666666666667</v>
      </c>
      <c r="J54" s="150" t="s">
        <v>8</v>
      </c>
      <c r="K54" s="127">
        <v>0.0</v>
      </c>
      <c r="L54" s="135" t="s">
        <v>8</v>
      </c>
      <c r="M54" s="127">
        <v>0.666666666666667</v>
      </c>
    </row>
    <row r="55">
      <c r="A55" s="144"/>
      <c r="B55" s="150" t="s">
        <v>21</v>
      </c>
      <c r="C55" s="127">
        <v>0.666666666666667</v>
      </c>
      <c r="D55" s="151" t="s">
        <v>21</v>
      </c>
      <c r="E55" s="135">
        <v>0.0</v>
      </c>
      <c r="F55" s="150" t="s">
        <v>21</v>
      </c>
      <c r="G55" s="127">
        <v>0.0</v>
      </c>
      <c r="H55" s="151" t="s">
        <v>21</v>
      </c>
      <c r="I55" s="135">
        <v>0.0</v>
      </c>
      <c r="J55" s="150" t="s">
        <v>21</v>
      </c>
      <c r="K55" s="127">
        <v>0.0</v>
      </c>
      <c r="L55" s="135" t="s">
        <v>21</v>
      </c>
      <c r="M55" s="127">
        <v>0.333333333333333</v>
      </c>
    </row>
    <row r="56">
      <c r="A56" s="144"/>
      <c r="B56" s="131" t="s">
        <v>20</v>
      </c>
      <c r="C56" s="127">
        <v>0.333333333333333</v>
      </c>
      <c r="D56" s="135" t="s">
        <v>20</v>
      </c>
      <c r="E56" s="135">
        <v>0.0</v>
      </c>
      <c r="F56" s="131" t="s">
        <v>20</v>
      </c>
      <c r="G56" s="127">
        <v>0.0</v>
      </c>
      <c r="H56" s="135" t="s">
        <v>20</v>
      </c>
      <c r="I56" s="135">
        <v>0.0</v>
      </c>
      <c r="J56" s="131" t="s">
        <v>20</v>
      </c>
      <c r="K56" s="127">
        <v>0.0</v>
      </c>
      <c r="L56" s="135" t="s">
        <v>20</v>
      </c>
      <c r="M56" s="127">
        <v>0.0</v>
      </c>
    </row>
    <row r="57">
      <c r="A57" s="144"/>
      <c r="B57" s="150" t="s">
        <v>13</v>
      </c>
      <c r="C57" s="127">
        <v>1.33333333333333</v>
      </c>
      <c r="D57" s="151" t="s">
        <v>13</v>
      </c>
      <c r="E57" s="135">
        <v>0.333333333333333</v>
      </c>
      <c r="F57" s="150" t="s">
        <v>13</v>
      </c>
      <c r="G57" s="127">
        <v>0.333333333333333</v>
      </c>
      <c r="H57" s="151" t="s">
        <v>13</v>
      </c>
      <c r="I57" s="135">
        <v>2.33333333333333</v>
      </c>
      <c r="J57" s="150" t="s">
        <v>13</v>
      </c>
      <c r="K57" s="127">
        <v>0.666666666666667</v>
      </c>
      <c r="L57" s="135" t="s">
        <v>13</v>
      </c>
      <c r="M57" s="127">
        <v>1.33333333333333</v>
      </c>
    </row>
    <row r="58">
      <c r="A58" s="144"/>
      <c r="B58" s="150" t="s">
        <v>14</v>
      </c>
      <c r="C58" s="127">
        <v>1.66666666666667</v>
      </c>
      <c r="D58" s="151" t="s">
        <v>14</v>
      </c>
      <c r="E58" s="135">
        <v>0.333333333333333</v>
      </c>
      <c r="F58" s="150" t="s">
        <v>14</v>
      </c>
      <c r="G58" s="127">
        <v>0.666666666666667</v>
      </c>
      <c r="H58" s="151" t="s">
        <v>14</v>
      </c>
      <c r="I58" s="135">
        <v>1.66666666666667</v>
      </c>
      <c r="J58" s="150" t="s">
        <v>14</v>
      </c>
      <c r="K58" s="127">
        <v>0.0</v>
      </c>
      <c r="L58" s="135" t="s">
        <v>14</v>
      </c>
      <c r="M58" s="127">
        <v>0.333333333333333</v>
      </c>
    </row>
    <row r="59">
      <c r="A59" s="144"/>
      <c r="B59" s="150" t="s">
        <v>2</v>
      </c>
      <c r="C59" s="127">
        <v>2.33333333333333</v>
      </c>
      <c r="D59" s="151" t="s">
        <v>2</v>
      </c>
      <c r="E59" s="135">
        <v>0.0</v>
      </c>
      <c r="F59" s="150" t="s">
        <v>2</v>
      </c>
      <c r="G59" s="127">
        <v>0.333333333333333</v>
      </c>
      <c r="H59" s="151" t="s">
        <v>2</v>
      </c>
      <c r="I59" s="135">
        <v>4.0</v>
      </c>
      <c r="J59" s="150" t="s">
        <v>2</v>
      </c>
      <c r="K59" s="127">
        <v>0.333333333333333</v>
      </c>
      <c r="L59" s="135" t="s">
        <v>2</v>
      </c>
      <c r="M59" s="127">
        <v>0.666666666666667</v>
      </c>
    </row>
    <row r="60">
      <c r="A60" s="144"/>
      <c r="B60" s="150" t="s">
        <v>22</v>
      </c>
      <c r="C60" s="127">
        <v>1.33333333333333</v>
      </c>
      <c r="D60" s="151" t="s">
        <v>22</v>
      </c>
      <c r="E60" s="135">
        <v>0.333333333333333</v>
      </c>
      <c r="F60" s="150" t="s">
        <v>22</v>
      </c>
      <c r="G60" s="127">
        <v>0.666666666666667</v>
      </c>
      <c r="H60" s="151" t="s">
        <v>22</v>
      </c>
      <c r="I60" s="135">
        <v>2.33333333333333</v>
      </c>
      <c r="J60" s="150" t="s">
        <v>22</v>
      </c>
      <c r="K60" s="127">
        <v>0.0</v>
      </c>
      <c r="L60" s="135" t="s">
        <v>22</v>
      </c>
      <c r="M60" s="127">
        <v>1.66666666666667</v>
      </c>
    </row>
    <row r="61">
      <c r="A61" s="144"/>
      <c r="B61" s="131" t="s">
        <v>23</v>
      </c>
      <c r="C61" s="127">
        <v>0.333333333333333</v>
      </c>
      <c r="D61" s="135" t="s">
        <v>23</v>
      </c>
      <c r="E61" s="135">
        <v>0.0</v>
      </c>
      <c r="F61" s="131" t="s">
        <v>23</v>
      </c>
      <c r="G61" s="127">
        <v>0.333333333333333</v>
      </c>
      <c r="H61" s="135" t="s">
        <v>23</v>
      </c>
      <c r="I61" s="135">
        <v>0.0</v>
      </c>
      <c r="J61" s="131" t="s">
        <v>23</v>
      </c>
      <c r="K61" s="127">
        <v>0.333333333333333</v>
      </c>
      <c r="L61" s="135" t="s">
        <v>23</v>
      </c>
      <c r="M61" s="127">
        <v>0.0</v>
      </c>
    </row>
    <row r="62">
      <c r="A62" s="144"/>
      <c r="B62" s="131" t="s">
        <v>24</v>
      </c>
      <c r="C62" s="127">
        <v>0.0</v>
      </c>
      <c r="D62" s="135" t="s">
        <v>24</v>
      </c>
      <c r="E62" s="135">
        <v>0.0</v>
      </c>
      <c r="F62" s="131" t="s">
        <v>24</v>
      </c>
      <c r="G62" s="127">
        <v>0.0</v>
      </c>
      <c r="H62" s="135" t="s">
        <v>24</v>
      </c>
      <c r="I62" s="135">
        <v>0.0</v>
      </c>
      <c r="J62" s="131" t="s">
        <v>24</v>
      </c>
      <c r="K62" s="127">
        <v>0.0</v>
      </c>
      <c r="L62" s="135" t="s">
        <v>24</v>
      </c>
      <c r="M62" s="127">
        <v>0.0</v>
      </c>
    </row>
    <row r="63">
      <c r="A63" s="144"/>
      <c r="B63" s="150" t="s">
        <v>19</v>
      </c>
      <c r="C63" s="127">
        <v>0.0</v>
      </c>
      <c r="D63" s="151" t="s">
        <v>19</v>
      </c>
      <c r="E63" s="135">
        <v>0.333333333333333</v>
      </c>
      <c r="F63" s="150" t="s">
        <v>19</v>
      </c>
      <c r="G63" s="127">
        <v>0.0</v>
      </c>
      <c r="H63" s="151" t="s">
        <v>19</v>
      </c>
      <c r="I63" s="135">
        <v>0.0</v>
      </c>
      <c r="J63" s="150" t="s">
        <v>19</v>
      </c>
      <c r="K63" s="127">
        <v>0.333333333333333</v>
      </c>
      <c r="L63" s="135" t="s">
        <v>19</v>
      </c>
      <c r="M63" s="127">
        <v>0.333333333333333</v>
      </c>
    </row>
    <row r="64">
      <c r="A64" s="144"/>
      <c r="B64" s="150" t="s">
        <v>15</v>
      </c>
      <c r="C64" s="127">
        <v>0.333333333333333</v>
      </c>
      <c r="D64" s="151" t="s">
        <v>15</v>
      </c>
      <c r="E64" s="135">
        <v>0.0</v>
      </c>
      <c r="F64" s="150" t="s">
        <v>15</v>
      </c>
      <c r="G64" s="127">
        <v>0.0</v>
      </c>
      <c r="H64" s="151" t="s">
        <v>15</v>
      </c>
      <c r="I64" s="135">
        <v>1.33333333333333</v>
      </c>
      <c r="J64" s="150" t="s">
        <v>15</v>
      </c>
      <c r="K64" s="127">
        <v>0.0</v>
      </c>
      <c r="L64" s="135" t="s">
        <v>15</v>
      </c>
      <c r="M64" s="127">
        <v>1.66666666666667</v>
      </c>
    </row>
    <row r="65">
      <c r="A65" s="144"/>
      <c r="B65" s="150" t="s">
        <v>6</v>
      </c>
      <c r="C65" s="127">
        <v>1.0</v>
      </c>
      <c r="D65" s="151" t="s">
        <v>6</v>
      </c>
      <c r="E65" s="135">
        <v>0.0</v>
      </c>
      <c r="F65" s="150" t="s">
        <v>6</v>
      </c>
      <c r="G65" s="127">
        <v>0.666666666666667</v>
      </c>
      <c r="H65" s="151" t="s">
        <v>6</v>
      </c>
      <c r="I65" s="135">
        <v>7.33333333333333</v>
      </c>
      <c r="J65" s="150" t="s">
        <v>6</v>
      </c>
      <c r="K65" s="127">
        <v>0.0</v>
      </c>
      <c r="L65" s="135" t="s">
        <v>6</v>
      </c>
      <c r="M65" s="127">
        <v>3.66666666666667</v>
      </c>
    </row>
    <row r="66">
      <c r="A66" s="144"/>
      <c r="B66" s="150" t="s">
        <v>16</v>
      </c>
      <c r="C66" s="127">
        <v>1.0</v>
      </c>
      <c r="D66" s="151" t="s">
        <v>16</v>
      </c>
      <c r="E66" s="135">
        <v>1.33333333333333</v>
      </c>
      <c r="F66" s="150" t="s">
        <v>16</v>
      </c>
      <c r="G66" s="127">
        <v>0.333333333333333</v>
      </c>
      <c r="H66" s="151" t="s">
        <v>16</v>
      </c>
      <c r="I66" s="135">
        <v>5.33333333333333</v>
      </c>
      <c r="J66" s="150" t="s">
        <v>16</v>
      </c>
      <c r="K66" s="127">
        <v>0.666666666666667</v>
      </c>
      <c r="L66" s="135" t="s">
        <v>16</v>
      </c>
      <c r="M66" s="127">
        <v>3.0</v>
      </c>
    </row>
    <row r="67">
      <c r="A67" s="144"/>
      <c r="B67" s="150" t="s">
        <v>18</v>
      </c>
      <c r="C67" s="127">
        <v>1.66666666666667</v>
      </c>
      <c r="D67" s="151" t="s">
        <v>18</v>
      </c>
      <c r="E67" s="135">
        <v>0.0</v>
      </c>
      <c r="F67" s="150" t="s">
        <v>18</v>
      </c>
      <c r="G67" s="127">
        <v>0.0</v>
      </c>
      <c r="H67" s="151" t="s">
        <v>18</v>
      </c>
      <c r="I67" s="135">
        <v>2.33333333333333</v>
      </c>
      <c r="J67" s="150" t="s">
        <v>18</v>
      </c>
      <c r="K67" s="127">
        <v>0.0</v>
      </c>
      <c r="L67" s="135" t="s">
        <v>18</v>
      </c>
      <c r="M67" s="127">
        <v>1.0</v>
      </c>
    </row>
    <row r="68">
      <c r="A68" s="144"/>
      <c r="B68" s="150" t="s">
        <v>4</v>
      </c>
      <c r="C68" s="127">
        <v>1.33333333333333</v>
      </c>
      <c r="D68" s="151" t="s">
        <v>4</v>
      </c>
      <c r="E68" s="135">
        <v>3.33333333333333</v>
      </c>
      <c r="F68" s="150" t="s">
        <v>4</v>
      </c>
      <c r="G68" s="127">
        <v>2.33333333333333</v>
      </c>
      <c r="H68" s="151" t="s">
        <v>4</v>
      </c>
      <c r="I68" s="135">
        <v>11.6666666666667</v>
      </c>
      <c r="J68" s="150" t="s">
        <v>4</v>
      </c>
      <c r="K68" s="127">
        <v>1.66666666666667</v>
      </c>
      <c r="L68" s="135" t="s">
        <v>4</v>
      </c>
      <c r="M68" s="127">
        <v>8.66666666666667</v>
      </c>
    </row>
    <row r="69">
      <c r="A69" s="144"/>
      <c r="B69" s="150" t="s">
        <v>3</v>
      </c>
      <c r="C69" s="127">
        <v>0.333333333333333</v>
      </c>
      <c r="D69" s="151" t="s">
        <v>3</v>
      </c>
      <c r="E69" s="135">
        <v>0.0</v>
      </c>
      <c r="F69" s="150" t="s">
        <v>3</v>
      </c>
      <c r="G69" s="127">
        <v>1.0</v>
      </c>
      <c r="H69" s="151" t="s">
        <v>3</v>
      </c>
      <c r="I69" s="135">
        <v>5.0</v>
      </c>
      <c r="J69" s="150" t="s">
        <v>3</v>
      </c>
      <c r="K69" s="127">
        <v>0.0</v>
      </c>
      <c r="L69" s="135" t="s">
        <v>3</v>
      </c>
      <c r="M69" s="127">
        <v>2.66666666666667</v>
      </c>
    </row>
    <row r="70">
      <c r="A70" s="144"/>
      <c r="B70" s="150" t="s">
        <v>12</v>
      </c>
      <c r="C70" s="127">
        <v>2.0</v>
      </c>
      <c r="D70" s="151" t="s">
        <v>12</v>
      </c>
      <c r="E70" s="135">
        <v>0.666666666666667</v>
      </c>
      <c r="F70" s="150" t="s">
        <v>12</v>
      </c>
      <c r="G70" s="127">
        <v>2.33333333333333</v>
      </c>
      <c r="H70" s="151" t="s">
        <v>12</v>
      </c>
      <c r="I70" s="135">
        <v>4.0</v>
      </c>
      <c r="J70" s="150" t="s">
        <v>12</v>
      </c>
      <c r="K70" s="127">
        <v>0.333333333333333</v>
      </c>
      <c r="L70" s="135" t="s">
        <v>12</v>
      </c>
      <c r="M70" s="127">
        <v>1.33333333333333</v>
      </c>
    </row>
    <row r="71">
      <c r="A71" s="144"/>
      <c r="B71" s="150" t="s">
        <v>9</v>
      </c>
      <c r="C71" s="127">
        <v>2.33333333333333</v>
      </c>
      <c r="D71" s="151" t="s">
        <v>9</v>
      </c>
      <c r="E71" s="135">
        <v>0.333333333333333</v>
      </c>
      <c r="F71" s="150" t="s">
        <v>9</v>
      </c>
      <c r="G71" s="127">
        <v>3.66666666666667</v>
      </c>
      <c r="H71" s="151" t="s">
        <v>9</v>
      </c>
      <c r="I71" s="135">
        <v>1.66666666666667</v>
      </c>
      <c r="J71" s="150" t="s">
        <v>9</v>
      </c>
      <c r="K71" s="127">
        <v>1.0</v>
      </c>
      <c r="L71" s="135" t="s">
        <v>9</v>
      </c>
      <c r="M71" s="127">
        <v>1.66666666666667</v>
      </c>
    </row>
    <row r="72">
      <c r="A72" s="144"/>
      <c r="B72" s="150" t="s">
        <v>26</v>
      </c>
      <c r="C72" s="127">
        <v>0.0</v>
      </c>
      <c r="D72" s="151" t="s">
        <v>26</v>
      </c>
      <c r="E72" s="135">
        <v>0.0</v>
      </c>
      <c r="F72" s="150" t="s">
        <v>26</v>
      </c>
      <c r="G72" s="127">
        <v>0.0</v>
      </c>
      <c r="H72" s="151" t="s">
        <v>26</v>
      </c>
      <c r="I72" s="135">
        <v>0.0</v>
      </c>
      <c r="J72" s="150" t="s">
        <v>26</v>
      </c>
      <c r="K72" s="127">
        <v>0.333333333333333</v>
      </c>
      <c r="L72" s="135" t="s">
        <v>26</v>
      </c>
      <c r="M72" s="127">
        <v>0.0</v>
      </c>
    </row>
    <row r="73">
      <c r="A73" s="144"/>
      <c r="B73" s="150" t="s">
        <v>17</v>
      </c>
      <c r="C73" s="127">
        <v>1.0</v>
      </c>
      <c r="D73" s="151" t="s">
        <v>17</v>
      </c>
      <c r="E73" s="135">
        <v>0.666666666666667</v>
      </c>
      <c r="F73" s="150" t="s">
        <v>17</v>
      </c>
      <c r="G73" s="127">
        <v>1.66666666666667</v>
      </c>
      <c r="H73" s="151" t="s">
        <v>17</v>
      </c>
      <c r="I73" s="135">
        <v>3.33333333333333</v>
      </c>
      <c r="J73" s="150" t="s">
        <v>17</v>
      </c>
      <c r="K73" s="127">
        <v>1.33333333333333</v>
      </c>
      <c r="L73" s="135" t="s">
        <v>17</v>
      </c>
      <c r="M73" s="127">
        <v>1.33333333333333</v>
      </c>
    </row>
    <row r="74">
      <c r="A74" s="155"/>
      <c r="B74" s="156" t="s">
        <v>10</v>
      </c>
      <c r="C74" s="130">
        <v>0.333333333333333</v>
      </c>
      <c r="D74" s="137" t="s">
        <v>10</v>
      </c>
      <c r="E74" s="157">
        <v>0.0</v>
      </c>
      <c r="F74" s="156" t="s">
        <v>10</v>
      </c>
      <c r="G74" s="130">
        <v>0.333333333333333</v>
      </c>
      <c r="H74" s="137" t="s">
        <v>10</v>
      </c>
      <c r="I74" s="157">
        <v>5.0</v>
      </c>
      <c r="J74" s="156" t="s">
        <v>10</v>
      </c>
      <c r="K74" s="130">
        <v>0.333333333333333</v>
      </c>
      <c r="L74" s="157" t="s">
        <v>10</v>
      </c>
      <c r="M74" s="130">
        <v>1.33333333333333</v>
      </c>
    </row>
  </sheetData>
  <conditionalFormatting sqref="A1 A3:D3 N3:P3 A11:B11 C11:D12 N11:P12 M12 A21 A23:M23 P23:T23 A49:M49">
    <cfRule type="containsText" dxfId="0" priority="1" operator="containsText" text="Match found">
      <formula>NOT(ISERROR(SEARCH(("Match found"),(A1))))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3" t="s">
        <v>62</v>
      </c>
    </row>
    <row r="2">
      <c r="A2" s="2" t="s">
        <v>63</v>
      </c>
    </row>
    <row r="3">
      <c r="A3" s="90" t="s">
        <v>54</v>
      </c>
      <c r="B3" s="91" t="s">
        <v>30</v>
      </c>
      <c r="C3" s="92"/>
      <c r="D3" s="92"/>
      <c r="E3" s="93"/>
      <c r="F3" s="11" t="s">
        <v>31</v>
      </c>
      <c r="G3" s="11"/>
      <c r="H3" s="11"/>
      <c r="I3" s="10"/>
      <c r="J3" s="12" t="s">
        <v>32</v>
      </c>
      <c r="K3" s="11"/>
      <c r="L3" s="11"/>
      <c r="M3" s="93"/>
      <c r="N3" s="92" t="s">
        <v>33</v>
      </c>
      <c r="O3" s="92"/>
      <c r="P3" s="92"/>
      <c r="Q3" s="10"/>
      <c r="R3" s="12" t="s">
        <v>34</v>
      </c>
      <c r="S3" s="11"/>
      <c r="T3" s="11"/>
      <c r="U3" s="93"/>
      <c r="V3" s="11" t="s">
        <v>35</v>
      </c>
      <c r="W3" s="11"/>
      <c r="X3" s="11"/>
      <c r="Y3" s="93"/>
    </row>
    <row r="4">
      <c r="A4" s="94" t="s">
        <v>64</v>
      </c>
      <c r="B4" s="16">
        <v>1.0</v>
      </c>
      <c r="C4" s="17">
        <v>2.0</v>
      </c>
      <c r="D4" s="17">
        <v>3.0</v>
      </c>
      <c r="E4" s="18" t="s">
        <v>65</v>
      </c>
      <c r="F4" s="17">
        <v>1.0</v>
      </c>
      <c r="G4" s="17">
        <v>2.0</v>
      </c>
      <c r="H4" s="17">
        <v>3.0</v>
      </c>
      <c r="I4" s="18" t="s">
        <v>65</v>
      </c>
      <c r="J4" s="16">
        <v>1.0</v>
      </c>
      <c r="K4" s="17">
        <v>2.0</v>
      </c>
      <c r="L4" s="17">
        <v>3.0</v>
      </c>
      <c r="M4" s="18" t="s">
        <v>65</v>
      </c>
      <c r="N4" s="17">
        <v>1.0</v>
      </c>
      <c r="O4" s="17">
        <v>2.0</v>
      </c>
      <c r="P4" s="17">
        <v>3.0</v>
      </c>
      <c r="Q4" s="18" t="s">
        <v>65</v>
      </c>
      <c r="R4" s="16">
        <v>1.0</v>
      </c>
      <c r="S4" s="17">
        <v>2.0</v>
      </c>
      <c r="T4" s="17">
        <v>3.0</v>
      </c>
      <c r="U4" s="18" t="s">
        <v>65</v>
      </c>
      <c r="V4" s="17">
        <v>1.0</v>
      </c>
      <c r="W4" s="17">
        <v>2.0</v>
      </c>
      <c r="X4" s="17">
        <v>3.0</v>
      </c>
      <c r="Y4" s="18" t="s">
        <v>65</v>
      </c>
    </row>
    <row r="5">
      <c r="A5" s="95" t="s">
        <v>66</v>
      </c>
      <c r="B5" s="138">
        <v>8.0</v>
      </c>
      <c r="C5" s="138">
        <v>7.0</v>
      </c>
      <c r="D5" s="138">
        <v>7.0</v>
      </c>
      <c r="E5" s="98">
        <f>AVERAGE(B5:D5)</f>
        <v>7.333333333</v>
      </c>
      <c r="F5" s="2">
        <v>5.0</v>
      </c>
      <c r="G5" s="2">
        <v>4.0</v>
      </c>
      <c r="H5" s="2">
        <v>1.0</v>
      </c>
      <c r="I5" s="99">
        <f t="shared" ref="I5:I8" si="1">AVERAGE(F5:H5)</f>
        <v>3.333333333</v>
      </c>
      <c r="J5" s="100">
        <v>3.0</v>
      </c>
      <c r="K5" s="2">
        <v>2.0</v>
      </c>
      <c r="L5" s="2">
        <v>3.0</v>
      </c>
      <c r="M5" s="101">
        <f t="shared" ref="M5:M8" si="2">AVERAGE(J5:L5)</f>
        <v>2.666666667</v>
      </c>
      <c r="N5" s="2">
        <v>77.0</v>
      </c>
      <c r="O5" s="2">
        <v>69.0</v>
      </c>
      <c r="P5" s="2">
        <v>78.0</v>
      </c>
      <c r="Q5" s="101">
        <f t="shared" ref="Q5:Q8" si="3">AVERAGE(N5:P5)</f>
        <v>74.66666667</v>
      </c>
      <c r="R5" s="2">
        <v>17.0</v>
      </c>
      <c r="S5" s="2">
        <v>5.0</v>
      </c>
      <c r="T5" s="2">
        <v>2.0</v>
      </c>
      <c r="U5" s="101">
        <f t="shared" ref="U5:U6" si="4">AVERAGE(R5:T5)</f>
        <v>8</v>
      </c>
      <c r="V5" s="2">
        <v>53.0</v>
      </c>
      <c r="W5" s="2">
        <v>48.0</v>
      </c>
      <c r="X5" s="2">
        <v>56.0</v>
      </c>
      <c r="Y5" s="101">
        <f t="shared" ref="Y5:Y8" si="5">AVERAGE(V5:X5)</f>
        <v>52.33333333</v>
      </c>
    </row>
    <row r="6">
      <c r="A6" s="95" t="s">
        <v>30</v>
      </c>
      <c r="B6" s="102"/>
      <c r="C6" s="103"/>
      <c r="D6" s="103"/>
      <c r="E6" s="104"/>
      <c r="F6" s="2">
        <v>29.0</v>
      </c>
      <c r="G6" s="2">
        <v>35.0</v>
      </c>
      <c r="H6" s="2">
        <v>53.0</v>
      </c>
      <c r="I6" s="99">
        <f t="shared" si="1"/>
        <v>39</v>
      </c>
      <c r="J6" s="100">
        <v>24.0</v>
      </c>
      <c r="K6" s="2">
        <v>36.0</v>
      </c>
      <c r="L6" s="2">
        <v>30.0</v>
      </c>
      <c r="M6" s="101">
        <f t="shared" si="2"/>
        <v>30</v>
      </c>
      <c r="N6" s="2">
        <v>96.0</v>
      </c>
      <c r="O6" s="2">
        <v>95.0</v>
      </c>
      <c r="P6" s="2">
        <v>99.0</v>
      </c>
      <c r="Q6" s="101">
        <f t="shared" si="3"/>
        <v>96.66666667</v>
      </c>
      <c r="R6" s="2">
        <v>26.0</v>
      </c>
      <c r="S6" s="2">
        <v>25.0</v>
      </c>
      <c r="T6" s="2">
        <v>20.0</v>
      </c>
      <c r="U6" s="101">
        <f t="shared" si="4"/>
        <v>23.66666667</v>
      </c>
      <c r="V6" s="2">
        <v>64.0</v>
      </c>
      <c r="W6" s="2">
        <v>70.0</v>
      </c>
      <c r="X6" s="2">
        <v>68.0</v>
      </c>
      <c r="Y6" s="101">
        <f t="shared" si="5"/>
        <v>67.33333333</v>
      </c>
    </row>
    <row r="7">
      <c r="A7" s="95" t="s">
        <v>67</v>
      </c>
      <c r="B7" s="102">
        <v>7.0</v>
      </c>
      <c r="C7" s="103">
        <v>2.0</v>
      </c>
      <c r="D7" s="103">
        <v>2.0</v>
      </c>
      <c r="E7" s="104">
        <f t="shared" ref="E7:E9" si="6">AVERAGE(B7:D7)</f>
        <v>3.666666667</v>
      </c>
      <c r="F7" s="2">
        <v>0.0</v>
      </c>
      <c r="G7" s="2">
        <v>1.0</v>
      </c>
      <c r="H7" s="2">
        <v>3.0</v>
      </c>
      <c r="I7" s="99">
        <f t="shared" si="1"/>
        <v>1.333333333</v>
      </c>
      <c r="J7" s="100">
        <v>0.0</v>
      </c>
      <c r="K7" s="2">
        <v>2.0</v>
      </c>
      <c r="L7" s="2">
        <v>0.0</v>
      </c>
      <c r="M7" s="101">
        <f t="shared" si="2"/>
        <v>0.6666666667</v>
      </c>
      <c r="N7" s="2">
        <v>4.0</v>
      </c>
      <c r="O7" s="2">
        <v>6.0</v>
      </c>
      <c r="P7" s="2">
        <v>7.0</v>
      </c>
      <c r="Q7" s="99">
        <f t="shared" si="3"/>
        <v>5.666666667</v>
      </c>
      <c r="R7" s="100"/>
      <c r="U7" s="101"/>
      <c r="V7" s="2">
        <v>5.0</v>
      </c>
      <c r="W7" s="2">
        <v>8.0</v>
      </c>
      <c r="X7" s="2">
        <v>1.0</v>
      </c>
      <c r="Y7" s="101">
        <f t="shared" si="5"/>
        <v>4.666666667</v>
      </c>
    </row>
    <row r="8">
      <c r="A8" s="95" t="s">
        <v>33</v>
      </c>
      <c r="B8" s="102">
        <v>71.0</v>
      </c>
      <c r="C8" s="103">
        <v>79.0</v>
      </c>
      <c r="D8" s="103">
        <v>90.0</v>
      </c>
      <c r="E8" s="104">
        <f t="shared" si="6"/>
        <v>80</v>
      </c>
      <c r="F8" s="2">
        <v>6.0</v>
      </c>
      <c r="G8" s="2">
        <v>3.0</v>
      </c>
      <c r="H8" s="2">
        <v>4.0</v>
      </c>
      <c r="I8" s="99">
        <f t="shared" si="1"/>
        <v>4.333333333</v>
      </c>
      <c r="J8" s="158">
        <v>10.0</v>
      </c>
      <c r="K8" s="159">
        <v>13.0</v>
      </c>
      <c r="L8" s="159">
        <v>18.0</v>
      </c>
      <c r="M8" s="101">
        <f t="shared" si="2"/>
        <v>13.66666667</v>
      </c>
      <c r="N8" s="2">
        <v>0.0</v>
      </c>
      <c r="O8" s="2">
        <v>0.0</v>
      </c>
      <c r="P8" s="2">
        <v>2.0</v>
      </c>
      <c r="Q8" s="99">
        <f t="shared" si="3"/>
        <v>0.6666666667</v>
      </c>
      <c r="R8" s="105"/>
      <c r="U8" s="106"/>
      <c r="V8" s="2">
        <v>6.0</v>
      </c>
      <c r="W8" s="2">
        <v>7.0</v>
      </c>
      <c r="X8" s="2">
        <v>5.0</v>
      </c>
      <c r="Y8" s="101">
        <f t="shared" si="5"/>
        <v>6</v>
      </c>
    </row>
    <row r="9">
      <c r="A9" s="107" t="s">
        <v>68</v>
      </c>
      <c r="B9" s="108">
        <v>1.0</v>
      </c>
      <c r="C9" s="109">
        <v>2.0</v>
      </c>
      <c r="D9" s="109">
        <v>1.0</v>
      </c>
      <c r="E9" s="110">
        <f t="shared" si="6"/>
        <v>1.333333333</v>
      </c>
      <c r="F9" s="111"/>
      <c r="G9" s="111"/>
      <c r="H9" s="111"/>
      <c r="I9" s="112"/>
      <c r="J9" s="113"/>
      <c r="K9" s="114"/>
      <c r="L9" s="114"/>
      <c r="M9" s="115"/>
      <c r="N9" s="114"/>
      <c r="O9" s="114"/>
      <c r="P9" s="111"/>
      <c r="Q9" s="114"/>
      <c r="R9" s="113"/>
      <c r="S9" s="114"/>
      <c r="T9" s="114"/>
      <c r="U9" s="115"/>
      <c r="V9" s="111"/>
      <c r="W9" s="111"/>
      <c r="X9" s="111"/>
      <c r="Y9" s="116"/>
    </row>
    <row r="11">
      <c r="A11" s="90" t="s">
        <v>58</v>
      </c>
      <c r="B11" s="91" t="s">
        <v>30</v>
      </c>
      <c r="C11" s="92"/>
      <c r="D11" s="92"/>
      <c r="E11" s="93"/>
      <c r="F11" s="11" t="s">
        <v>31</v>
      </c>
      <c r="G11" s="11"/>
      <c r="H11" s="11"/>
      <c r="I11" s="10"/>
      <c r="J11" s="12" t="s">
        <v>32</v>
      </c>
      <c r="K11" s="11"/>
      <c r="L11" s="11"/>
      <c r="M11" s="93"/>
      <c r="N11" s="92" t="s">
        <v>33</v>
      </c>
      <c r="O11" s="92"/>
      <c r="P11" s="92"/>
      <c r="Q11" s="10"/>
      <c r="R11" s="12" t="s">
        <v>34</v>
      </c>
      <c r="S11" s="11"/>
      <c r="T11" s="11"/>
      <c r="U11" s="93"/>
      <c r="V11" s="11" t="s">
        <v>35</v>
      </c>
      <c r="W11" s="11"/>
      <c r="X11" s="11"/>
      <c r="Y11" s="93"/>
    </row>
    <row r="12">
      <c r="A12" s="94" t="s">
        <v>64</v>
      </c>
      <c r="B12" s="16">
        <v>1.0</v>
      </c>
      <c r="C12" s="17">
        <v>2.0</v>
      </c>
      <c r="D12" s="17">
        <v>3.0</v>
      </c>
      <c r="E12" s="18" t="s">
        <v>65</v>
      </c>
      <c r="F12" s="17">
        <v>1.0</v>
      </c>
      <c r="G12" s="17">
        <v>2.0</v>
      </c>
      <c r="H12" s="17">
        <v>3.0</v>
      </c>
      <c r="I12" s="18" t="s">
        <v>65</v>
      </c>
      <c r="J12" s="16">
        <v>1.0</v>
      </c>
      <c r="K12" s="17">
        <v>2.0</v>
      </c>
      <c r="L12" s="17">
        <v>3.0</v>
      </c>
      <c r="M12" s="18" t="s">
        <v>65</v>
      </c>
      <c r="N12" s="17">
        <v>1.0</v>
      </c>
      <c r="O12" s="17">
        <v>2.0</v>
      </c>
      <c r="P12" s="17">
        <v>3.0</v>
      </c>
      <c r="Q12" s="18" t="s">
        <v>65</v>
      </c>
      <c r="R12" s="16">
        <v>1.0</v>
      </c>
      <c r="S12" s="17">
        <v>2.0</v>
      </c>
      <c r="T12" s="17">
        <v>3.0</v>
      </c>
      <c r="U12" s="18" t="s">
        <v>65</v>
      </c>
      <c r="V12" s="17">
        <v>1.0</v>
      </c>
      <c r="W12" s="17">
        <v>2.0</v>
      </c>
      <c r="X12" s="17">
        <v>3.0</v>
      </c>
      <c r="Y12" s="18" t="s">
        <v>65</v>
      </c>
    </row>
    <row r="13">
      <c r="A13" s="95" t="s">
        <v>66</v>
      </c>
      <c r="B13" s="138">
        <v>4.0</v>
      </c>
      <c r="C13" s="138">
        <v>4.0</v>
      </c>
      <c r="D13" s="138">
        <v>2.0</v>
      </c>
      <c r="E13" s="101">
        <f>AVERAGE(B13:D13)</f>
        <v>3.333333333</v>
      </c>
      <c r="F13" s="2">
        <v>6.0</v>
      </c>
      <c r="G13" s="2">
        <v>2.0</v>
      </c>
      <c r="H13" s="2">
        <v>7.0</v>
      </c>
      <c r="I13" s="99">
        <f t="shared" ref="I13:I14" si="7">AVERAGE(F13:H13)</f>
        <v>5</v>
      </c>
      <c r="J13" s="100">
        <v>9.0</v>
      </c>
      <c r="K13" s="2">
        <v>9.0</v>
      </c>
      <c r="L13" s="2">
        <v>10.0</v>
      </c>
      <c r="M13" s="101">
        <f t="shared" ref="M13:M14" si="8">AVERAGE(J13:L13)</f>
        <v>9.333333333</v>
      </c>
      <c r="N13" s="2">
        <v>43.0</v>
      </c>
      <c r="O13" s="2">
        <v>46.0</v>
      </c>
      <c r="P13" s="2">
        <v>39.0</v>
      </c>
      <c r="Q13" s="99">
        <f t="shared" ref="Q13:Q16" si="9">AVERAGE(N13:P13)</f>
        <v>42.66666667</v>
      </c>
      <c r="R13" s="100">
        <v>19.0</v>
      </c>
      <c r="S13" s="2">
        <v>13.0</v>
      </c>
      <c r="T13" s="2">
        <v>9.0</v>
      </c>
      <c r="U13" s="101">
        <f t="shared" ref="U13:U14" si="10">AVERAGE(R13:T13)</f>
        <v>13.66666667</v>
      </c>
      <c r="V13" s="2">
        <v>24.0</v>
      </c>
      <c r="W13" s="2">
        <v>32.0</v>
      </c>
      <c r="X13" s="2">
        <v>22.0</v>
      </c>
      <c r="Y13" s="101">
        <f t="shared" ref="Y13:Y16" si="11">AVERAGE(V13:X13)</f>
        <v>26</v>
      </c>
    </row>
    <row r="14">
      <c r="A14" s="95" t="s">
        <v>30</v>
      </c>
      <c r="B14" s="100"/>
      <c r="E14" s="101"/>
      <c r="F14" s="2">
        <v>3.0</v>
      </c>
      <c r="G14" s="2">
        <v>4.0</v>
      </c>
      <c r="H14" s="2">
        <v>11.0</v>
      </c>
      <c r="I14" s="99">
        <f t="shared" si="7"/>
        <v>6</v>
      </c>
      <c r="J14" s="100">
        <v>12.0</v>
      </c>
      <c r="K14" s="2">
        <v>11.0</v>
      </c>
      <c r="L14" s="2">
        <v>16.0</v>
      </c>
      <c r="M14" s="101">
        <f t="shared" si="8"/>
        <v>13</v>
      </c>
      <c r="N14" s="2">
        <v>34.0</v>
      </c>
      <c r="O14" s="2">
        <v>31.0</v>
      </c>
      <c r="P14" s="2">
        <v>40.0</v>
      </c>
      <c r="Q14" s="99">
        <f t="shared" si="9"/>
        <v>35</v>
      </c>
      <c r="R14" s="100">
        <v>20.0</v>
      </c>
      <c r="S14" s="2">
        <v>13.0</v>
      </c>
      <c r="T14" s="2">
        <v>8.0</v>
      </c>
      <c r="U14" s="101">
        <f t="shared" si="10"/>
        <v>13.66666667</v>
      </c>
      <c r="V14" s="2">
        <v>25.0</v>
      </c>
      <c r="W14" s="2">
        <v>19.0</v>
      </c>
      <c r="X14" s="2">
        <v>16.0</v>
      </c>
      <c r="Y14" s="101">
        <f t="shared" si="11"/>
        <v>20</v>
      </c>
    </row>
    <row r="15">
      <c r="A15" s="95" t="s">
        <v>67</v>
      </c>
      <c r="B15" s="100">
        <v>2.0</v>
      </c>
      <c r="C15" s="2">
        <v>2.0</v>
      </c>
      <c r="D15" s="2">
        <v>2.0</v>
      </c>
      <c r="E15" s="101">
        <f t="shared" ref="E15:E17" si="12">AVERAGE(B15:D15)</f>
        <v>2</v>
      </c>
      <c r="I15" s="99"/>
      <c r="J15" s="100"/>
      <c r="M15" s="101"/>
      <c r="N15" s="2">
        <v>2.0</v>
      </c>
      <c r="O15" s="2">
        <v>1.0</v>
      </c>
      <c r="P15" s="2">
        <v>1.0</v>
      </c>
      <c r="Q15" s="99">
        <f t="shared" si="9"/>
        <v>1.333333333</v>
      </c>
      <c r="R15" s="100"/>
      <c r="U15" s="101"/>
      <c r="V15" s="2">
        <v>2.0</v>
      </c>
      <c r="W15" s="2">
        <v>2.0</v>
      </c>
      <c r="X15" s="2">
        <v>1.0</v>
      </c>
      <c r="Y15" s="101">
        <f t="shared" si="11"/>
        <v>1.666666667</v>
      </c>
    </row>
    <row r="16">
      <c r="A16" s="95" t="s">
        <v>33</v>
      </c>
      <c r="B16" s="100">
        <v>16.0</v>
      </c>
      <c r="C16" s="2">
        <v>17.0</v>
      </c>
      <c r="D16" s="2">
        <v>26.0</v>
      </c>
      <c r="E16" s="101">
        <f t="shared" si="12"/>
        <v>19.66666667</v>
      </c>
      <c r="F16" s="2">
        <v>1.0</v>
      </c>
      <c r="G16" s="2">
        <v>0.0</v>
      </c>
      <c r="H16" s="2">
        <v>0.0</v>
      </c>
      <c r="I16" s="99">
        <f>AVERAGE(F16:H16)</f>
        <v>0.3333333333</v>
      </c>
      <c r="J16" s="100">
        <v>11.0</v>
      </c>
      <c r="K16" s="2">
        <v>10.0</v>
      </c>
      <c r="L16" s="2">
        <v>10.0</v>
      </c>
      <c r="M16" s="101">
        <f>AVERAGE(J16:L16)</f>
        <v>10.33333333</v>
      </c>
      <c r="N16" s="2">
        <v>1.0</v>
      </c>
      <c r="O16" s="2">
        <v>0.0</v>
      </c>
      <c r="P16" s="2">
        <v>0.0</v>
      </c>
      <c r="Q16" s="99">
        <f t="shared" si="9"/>
        <v>0.3333333333</v>
      </c>
      <c r="R16" s="105"/>
      <c r="U16" s="106"/>
      <c r="V16" s="2">
        <v>1.0</v>
      </c>
      <c r="W16" s="2">
        <v>7.0</v>
      </c>
      <c r="X16" s="2">
        <v>2.0</v>
      </c>
      <c r="Y16" s="101">
        <f t="shared" si="11"/>
        <v>3.333333333</v>
      </c>
    </row>
    <row r="17">
      <c r="A17" s="107" t="s">
        <v>68</v>
      </c>
      <c r="B17" s="117">
        <v>1.0</v>
      </c>
      <c r="C17" s="111">
        <v>0.0</v>
      </c>
      <c r="D17" s="111">
        <v>0.0</v>
      </c>
      <c r="E17" s="116">
        <f t="shared" si="12"/>
        <v>0.3333333333</v>
      </c>
      <c r="F17" s="111"/>
      <c r="G17" s="111"/>
      <c r="H17" s="111"/>
      <c r="I17" s="112"/>
      <c r="J17" s="113"/>
      <c r="K17" s="114"/>
      <c r="L17" s="114"/>
      <c r="M17" s="115"/>
      <c r="N17" s="114"/>
      <c r="O17" s="114"/>
      <c r="P17" s="114"/>
      <c r="Q17" s="114"/>
      <c r="R17" s="113"/>
      <c r="S17" s="114"/>
      <c r="T17" s="114"/>
      <c r="U17" s="115"/>
      <c r="V17" s="111"/>
      <c r="W17" s="111"/>
      <c r="X17" s="111"/>
      <c r="Y17" s="116"/>
    </row>
    <row r="21">
      <c r="A21" s="3" t="s">
        <v>69</v>
      </c>
    </row>
    <row r="22">
      <c r="A22" s="2" t="s">
        <v>63</v>
      </c>
    </row>
    <row r="23">
      <c r="A23" s="160" t="s">
        <v>54</v>
      </c>
      <c r="B23" s="91" t="s">
        <v>30</v>
      </c>
      <c r="C23" s="91" t="s">
        <v>31</v>
      </c>
      <c r="D23" s="91" t="s">
        <v>32</v>
      </c>
      <c r="E23" s="91" t="s">
        <v>33</v>
      </c>
      <c r="F23" s="91" t="s">
        <v>34</v>
      </c>
      <c r="G23" s="161" t="s">
        <v>35</v>
      </c>
      <c r="I23" s="59"/>
      <c r="K23" s="162" t="s">
        <v>75</v>
      </c>
      <c r="L23" s="92"/>
      <c r="M23" s="92"/>
      <c r="N23" s="92"/>
      <c r="O23" s="92"/>
    </row>
    <row r="24">
      <c r="A24" s="163" t="s">
        <v>39</v>
      </c>
      <c r="B24" s="146" t="s">
        <v>65</v>
      </c>
      <c r="C24" s="146" t="s">
        <v>65</v>
      </c>
      <c r="D24" s="146" t="s">
        <v>65</v>
      </c>
      <c r="E24" s="146" t="s">
        <v>65</v>
      </c>
      <c r="F24" s="146" t="s">
        <v>65</v>
      </c>
      <c r="G24" s="146" t="s">
        <v>65</v>
      </c>
      <c r="I24" s="39"/>
      <c r="J24" s="164" t="s">
        <v>76</v>
      </c>
      <c r="K24" s="16" t="s">
        <v>39</v>
      </c>
      <c r="L24" s="17" t="s">
        <v>71</v>
      </c>
      <c r="M24" s="17" t="s">
        <v>72</v>
      </c>
      <c r="N24" s="17" t="s">
        <v>73</v>
      </c>
      <c r="O24" s="18" t="s">
        <v>74</v>
      </c>
    </row>
    <row r="25">
      <c r="A25" s="165" t="s">
        <v>5</v>
      </c>
      <c r="B25" s="121">
        <v>5.0</v>
      </c>
      <c r="C25" s="121">
        <v>5.33333333333333</v>
      </c>
      <c r="D25" s="121">
        <v>2.33333333333333</v>
      </c>
      <c r="E25" s="121">
        <v>21.3333333333333</v>
      </c>
      <c r="F25" s="121">
        <v>2.66666666666667</v>
      </c>
      <c r="G25" s="121">
        <v>14.0</v>
      </c>
      <c r="I25" s="135"/>
      <c r="J25" s="2">
        <v>25.0</v>
      </c>
      <c r="K25" s="88" t="s">
        <v>5</v>
      </c>
      <c r="L25" s="123">
        <f t="shared" ref="L25:L48" si="13">SUM(B25,C25,D25,E25,F25,G25)/6</f>
        <v>8.444444444</v>
      </c>
      <c r="M25" s="124">
        <f t="shared" ref="M25:M49" si="14">L25/J25</f>
        <v>0.3377777778</v>
      </c>
      <c r="N25" s="125">
        <f t="shared" ref="N25:N48" si="15">SUM(B51,C51,D51,E51,F51,G51,)/6</f>
        <v>1.833333333</v>
      </c>
      <c r="O25" s="126">
        <f t="shared" ref="O25:O48" si="16">N25/J25</f>
        <v>0.07333333333</v>
      </c>
    </row>
    <row r="26">
      <c r="A26" s="166" t="s">
        <v>11</v>
      </c>
      <c r="B26" s="127">
        <v>1.33333333333333</v>
      </c>
      <c r="C26" s="127">
        <v>2.66666666666667</v>
      </c>
      <c r="D26" s="127">
        <v>0.666666666666667</v>
      </c>
      <c r="E26" s="127">
        <v>4.66666666666667</v>
      </c>
      <c r="F26" s="127">
        <v>2.0</v>
      </c>
      <c r="G26" s="127">
        <v>3.33333333333333</v>
      </c>
      <c r="I26" s="135"/>
      <c r="J26" s="2">
        <v>19.0</v>
      </c>
      <c r="K26" s="88" t="s">
        <v>11</v>
      </c>
      <c r="L26" s="123">
        <f t="shared" si="13"/>
        <v>2.444444444</v>
      </c>
      <c r="M26" s="124">
        <f t="shared" si="14"/>
        <v>0.1286549708</v>
      </c>
      <c r="N26" s="125">
        <f t="shared" si="15"/>
        <v>3.055555556</v>
      </c>
      <c r="O26" s="126">
        <f t="shared" si="16"/>
        <v>0.1608187135</v>
      </c>
    </row>
    <row r="27">
      <c r="A27" s="166" t="s">
        <v>7</v>
      </c>
      <c r="B27" s="127">
        <v>16.0</v>
      </c>
      <c r="C27" s="127">
        <v>3.33333333333333</v>
      </c>
      <c r="D27" s="127">
        <v>3.0</v>
      </c>
      <c r="E27" s="127">
        <v>8.0</v>
      </c>
      <c r="F27" s="127">
        <v>1.66666666666667</v>
      </c>
      <c r="G27" s="127">
        <v>6.33333333333333</v>
      </c>
      <c r="I27" s="135"/>
      <c r="J27" s="2">
        <v>24.0</v>
      </c>
      <c r="K27" s="88" t="s">
        <v>7</v>
      </c>
      <c r="L27" s="123">
        <f t="shared" si="13"/>
        <v>6.388888889</v>
      </c>
      <c r="M27" s="124">
        <f t="shared" si="14"/>
        <v>0.2662037037</v>
      </c>
      <c r="N27" s="125">
        <f t="shared" si="15"/>
        <v>1.555555556</v>
      </c>
      <c r="O27" s="126">
        <f t="shared" si="16"/>
        <v>0.06481481481</v>
      </c>
    </row>
    <row r="28">
      <c r="A28" s="166" t="s">
        <v>8</v>
      </c>
      <c r="B28" s="127">
        <v>5.33333333333333</v>
      </c>
      <c r="C28" s="127">
        <v>0.666666666666667</v>
      </c>
      <c r="D28" s="127">
        <v>3.33333333333333</v>
      </c>
      <c r="E28" s="127">
        <v>5.33333333333333</v>
      </c>
      <c r="F28" s="127">
        <v>1.33333333333333</v>
      </c>
      <c r="G28" s="127">
        <v>2.0</v>
      </c>
      <c r="I28" s="135"/>
      <c r="J28" s="2">
        <v>22.0</v>
      </c>
      <c r="K28" s="88" t="s">
        <v>8</v>
      </c>
      <c r="L28" s="123">
        <f t="shared" si="13"/>
        <v>3</v>
      </c>
      <c r="M28" s="124">
        <f t="shared" si="14"/>
        <v>0.1363636364</v>
      </c>
      <c r="N28" s="125">
        <f t="shared" si="15"/>
        <v>1.833333333</v>
      </c>
      <c r="O28" s="126">
        <f t="shared" si="16"/>
        <v>0.08333333333</v>
      </c>
    </row>
    <row r="29">
      <c r="A29" s="166" t="s">
        <v>21</v>
      </c>
      <c r="B29" s="127">
        <v>0.333333333333333</v>
      </c>
      <c r="C29" s="127">
        <v>0.0</v>
      </c>
      <c r="D29" s="127">
        <v>0.0</v>
      </c>
      <c r="E29" s="127">
        <v>0.666666666666667</v>
      </c>
      <c r="F29" s="127">
        <v>0.0</v>
      </c>
      <c r="G29" s="127">
        <v>0.0</v>
      </c>
      <c r="I29" s="135"/>
      <c r="J29" s="2">
        <v>1.0</v>
      </c>
      <c r="K29" s="88" t="s">
        <v>21</v>
      </c>
      <c r="L29" s="123">
        <f t="shared" si="13"/>
        <v>0.1666666667</v>
      </c>
      <c r="M29" s="124">
        <f t="shared" si="14"/>
        <v>0.1666666667</v>
      </c>
      <c r="N29" s="125">
        <f t="shared" si="15"/>
        <v>0</v>
      </c>
      <c r="O29" s="126">
        <f t="shared" si="16"/>
        <v>0</v>
      </c>
    </row>
    <row r="30">
      <c r="A30" s="167" t="s">
        <v>20</v>
      </c>
      <c r="B30" s="127">
        <v>0.333333333333333</v>
      </c>
      <c r="C30" s="127">
        <v>0.0</v>
      </c>
      <c r="D30" s="127">
        <v>0.0</v>
      </c>
      <c r="E30" s="127">
        <v>0.0</v>
      </c>
      <c r="F30" s="127">
        <v>0.0</v>
      </c>
      <c r="G30" s="127">
        <v>0.0</v>
      </c>
      <c r="I30" s="135"/>
      <c r="J30" s="2">
        <v>2.0</v>
      </c>
      <c r="K30" s="88" t="s">
        <v>20</v>
      </c>
      <c r="L30" s="123">
        <f t="shared" si="13"/>
        <v>0.05555555556</v>
      </c>
      <c r="M30" s="124">
        <f t="shared" si="14"/>
        <v>0.02777777778</v>
      </c>
      <c r="N30" s="125">
        <f t="shared" si="15"/>
        <v>0.1111111111</v>
      </c>
      <c r="O30" s="126">
        <f t="shared" si="16"/>
        <v>0.05555555556</v>
      </c>
    </row>
    <row r="31">
      <c r="A31" s="166" t="s">
        <v>13</v>
      </c>
      <c r="B31" s="127">
        <v>5.0</v>
      </c>
      <c r="C31" s="127">
        <v>6.0</v>
      </c>
      <c r="D31" s="127">
        <v>2.0</v>
      </c>
      <c r="E31" s="127">
        <v>10.6666666666667</v>
      </c>
      <c r="F31" s="127">
        <v>3.0</v>
      </c>
      <c r="G31" s="127">
        <v>9.66666666666667</v>
      </c>
      <c r="I31" s="135"/>
      <c r="J31" s="2">
        <v>13.0</v>
      </c>
      <c r="K31" s="88" t="s">
        <v>13</v>
      </c>
      <c r="L31" s="123">
        <f t="shared" si="13"/>
        <v>6.055555556</v>
      </c>
      <c r="M31" s="124">
        <f t="shared" si="14"/>
        <v>0.4658119658</v>
      </c>
      <c r="N31" s="125">
        <f t="shared" si="15"/>
        <v>1.111111111</v>
      </c>
      <c r="O31" s="126">
        <f t="shared" si="16"/>
        <v>0.08547008547</v>
      </c>
    </row>
    <row r="32">
      <c r="A32" s="166" t="s">
        <v>14</v>
      </c>
      <c r="B32" s="127">
        <v>7.0</v>
      </c>
      <c r="C32" s="127">
        <v>2.33333333333333</v>
      </c>
      <c r="D32" s="127">
        <v>2.0</v>
      </c>
      <c r="E32" s="127">
        <v>18.3333333333333</v>
      </c>
      <c r="F32" s="127">
        <v>3.0</v>
      </c>
      <c r="G32" s="127">
        <v>12.3333333333333</v>
      </c>
      <c r="I32" s="135"/>
      <c r="J32" s="2">
        <v>11.0</v>
      </c>
      <c r="K32" s="88" t="s">
        <v>14</v>
      </c>
      <c r="L32" s="123">
        <f t="shared" si="13"/>
        <v>7.5</v>
      </c>
      <c r="M32" s="124">
        <f t="shared" si="14"/>
        <v>0.6818181818</v>
      </c>
      <c r="N32" s="125">
        <f t="shared" si="15"/>
        <v>1</v>
      </c>
      <c r="O32" s="126">
        <f t="shared" si="16"/>
        <v>0.09090909091</v>
      </c>
    </row>
    <row r="33">
      <c r="A33" s="166" t="s">
        <v>2</v>
      </c>
      <c r="B33" s="127">
        <v>9.33333333333333</v>
      </c>
      <c r="C33" s="127">
        <v>4.0</v>
      </c>
      <c r="D33" s="127">
        <v>2.33333333333333</v>
      </c>
      <c r="E33" s="127">
        <v>8.0</v>
      </c>
      <c r="F33" s="127">
        <v>2.33333333333333</v>
      </c>
      <c r="G33" s="127">
        <v>9.66666666666667</v>
      </c>
      <c r="I33" s="135"/>
      <c r="J33" s="2">
        <v>31.0</v>
      </c>
      <c r="K33" s="88" t="s">
        <v>2</v>
      </c>
      <c r="L33" s="123">
        <f t="shared" si="13"/>
        <v>5.944444444</v>
      </c>
      <c r="M33" s="124">
        <f t="shared" si="14"/>
        <v>0.1917562724</v>
      </c>
      <c r="N33" s="125">
        <f t="shared" si="15"/>
        <v>1.111111111</v>
      </c>
      <c r="O33" s="126">
        <f t="shared" si="16"/>
        <v>0.03584229391</v>
      </c>
    </row>
    <row r="34">
      <c r="A34" s="166" t="s">
        <v>22</v>
      </c>
      <c r="B34" s="127">
        <v>0.333333333333333</v>
      </c>
      <c r="C34" s="127">
        <v>0.0</v>
      </c>
      <c r="D34" s="127">
        <v>0.666666666666667</v>
      </c>
      <c r="E34" s="127">
        <v>0.0</v>
      </c>
      <c r="F34" s="127">
        <v>0.0</v>
      </c>
      <c r="G34" s="127">
        <v>0.0</v>
      </c>
      <c r="I34" s="135"/>
      <c r="J34" s="2">
        <v>1.0</v>
      </c>
      <c r="K34" s="88" t="s">
        <v>22</v>
      </c>
      <c r="L34" s="123">
        <f t="shared" si="13"/>
        <v>0.1666666667</v>
      </c>
      <c r="M34" s="124">
        <f t="shared" si="14"/>
        <v>0.1666666667</v>
      </c>
      <c r="N34" s="125">
        <f t="shared" si="15"/>
        <v>1.166666667</v>
      </c>
      <c r="O34" s="126">
        <f t="shared" si="16"/>
        <v>1.166666667</v>
      </c>
    </row>
    <row r="35">
      <c r="A35" s="167" t="s">
        <v>23</v>
      </c>
      <c r="B35" s="127">
        <v>0.0</v>
      </c>
      <c r="C35" s="127">
        <v>0.0</v>
      </c>
      <c r="D35" s="127">
        <v>0.0</v>
      </c>
      <c r="E35" s="127">
        <v>0.0</v>
      </c>
      <c r="F35" s="127">
        <v>0.0</v>
      </c>
      <c r="G35" s="127">
        <v>0.0</v>
      </c>
      <c r="I35" s="135"/>
      <c r="J35" s="2">
        <v>1.0</v>
      </c>
      <c r="K35" s="88" t="s">
        <v>23</v>
      </c>
      <c r="L35" s="123">
        <f t="shared" si="13"/>
        <v>0</v>
      </c>
      <c r="M35" s="124">
        <f t="shared" si="14"/>
        <v>0</v>
      </c>
      <c r="N35" s="125">
        <f t="shared" si="15"/>
        <v>0.3888888889</v>
      </c>
      <c r="O35" s="126">
        <f t="shared" si="16"/>
        <v>0.3888888889</v>
      </c>
    </row>
    <row r="36">
      <c r="A36" s="167" t="s">
        <v>24</v>
      </c>
      <c r="B36" s="127">
        <v>0.0</v>
      </c>
      <c r="C36" s="127">
        <v>0.0</v>
      </c>
      <c r="D36" s="127">
        <v>0.0</v>
      </c>
      <c r="E36" s="127">
        <v>0.0</v>
      </c>
      <c r="F36" s="127">
        <v>0.0</v>
      </c>
      <c r="G36" s="127">
        <v>0.0</v>
      </c>
      <c r="I36" s="135"/>
      <c r="J36" s="2">
        <v>1.0</v>
      </c>
      <c r="K36" s="88" t="s">
        <v>24</v>
      </c>
      <c r="L36" s="123">
        <f t="shared" si="13"/>
        <v>0</v>
      </c>
      <c r="M36" s="124">
        <f t="shared" si="14"/>
        <v>0</v>
      </c>
      <c r="N36" s="125">
        <f t="shared" si="15"/>
        <v>0</v>
      </c>
      <c r="O36" s="126">
        <f t="shared" si="16"/>
        <v>0</v>
      </c>
    </row>
    <row r="37">
      <c r="A37" s="166" t="s">
        <v>19</v>
      </c>
      <c r="B37" s="127">
        <v>1.33333333333333</v>
      </c>
      <c r="C37" s="127">
        <v>0.333333333333333</v>
      </c>
      <c r="D37" s="127">
        <v>0.666666666666667</v>
      </c>
      <c r="E37" s="127">
        <v>3.0</v>
      </c>
      <c r="F37" s="127">
        <v>0.0</v>
      </c>
      <c r="G37" s="127">
        <v>1.66666666666667</v>
      </c>
      <c r="I37" s="135"/>
      <c r="J37" s="2">
        <v>4.0</v>
      </c>
      <c r="K37" s="88" t="s">
        <v>19</v>
      </c>
      <c r="L37" s="123">
        <f t="shared" si="13"/>
        <v>1.166666667</v>
      </c>
      <c r="M37" s="124">
        <f t="shared" si="14"/>
        <v>0.2916666667</v>
      </c>
      <c r="N37" s="125">
        <f t="shared" si="15"/>
        <v>0.7777777778</v>
      </c>
      <c r="O37" s="126">
        <f t="shared" si="16"/>
        <v>0.1944444444</v>
      </c>
    </row>
    <row r="38">
      <c r="A38" s="166" t="s">
        <v>15</v>
      </c>
      <c r="B38" s="127">
        <v>0.0</v>
      </c>
      <c r="C38" s="127">
        <v>0.0</v>
      </c>
      <c r="D38" s="127">
        <v>0.0</v>
      </c>
      <c r="E38" s="127">
        <v>2.0</v>
      </c>
      <c r="F38" s="127">
        <v>0.333333333333333</v>
      </c>
      <c r="G38" s="127">
        <v>1.66666666666667</v>
      </c>
      <c r="I38" s="135"/>
      <c r="J38" s="2">
        <v>10.0</v>
      </c>
      <c r="K38" s="88" t="s">
        <v>15</v>
      </c>
      <c r="L38" s="123">
        <f t="shared" si="13"/>
        <v>0.6666666667</v>
      </c>
      <c r="M38" s="124">
        <f t="shared" si="14"/>
        <v>0.06666666667</v>
      </c>
      <c r="N38" s="125">
        <f t="shared" si="15"/>
        <v>0.8333333333</v>
      </c>
      <c r="O38" s="126">
        <f t="shared" si="16"/>
        <v>0.08333333333</v>
      </c>
    </row>
    <row r="39">
      <c r="A39" s="166" t="s">
        <v>6</v>
      </c>
      <c r="B39" s="127">
        <v>5.66666666666667</v>
      </c>
      <c r="C39" s="127">
        <v>6.33333333333333</v>
      </c>
      <c r="D39" s="127">
        <v>6.66666666666667</v>
      </c>
      <c r="E39" s="127">
        <v>16.0</v>
      </c>
      <c r="F39" s="127">
        <v>3.0</v>
      </c>
      <c r="G39" s="127">
        <v>13.3333333333333</v>
      </c>
      <c r="I39" s="135"/>
      <c r="J39" s="2">
        <v>25.0</v>
      </c>
      <c r="K39" s="88" t="s">
        <v>6</v>
      </c>
      <c r="L39" s="123">
        <f t="shared" si="13"/>
        <v>8.5</v>
      </c>
      <c r="M39" s="124">
        <f t="shared" si="14"/>
        <v>0.34</v>
      </c>
      <c r="N39" s="125">
        <f t="shared" si="15"/>
        <v>2.388888889</v>
      </c>
      <c r="O39" s="126">
        <f t="shared" si="16"/>
        <v>0.09555555556</v>
      </c>
    </row>
    <row r="40">
      <c r="A40" s="166" t="s">
        <v>16</v>
      </c>
      <c r="B40" s="127">
        <v>1.66666666666667</v>
      </c>
      <c r="C40" s="127">
        <v>1.0</v>
      </c>
      <c r="D40" s="127">
        <v>2.66666666666667</v>
      </c>
      <c r="E40" s="127">
        <v>8.0</v>
      </c>
      <c r="F40" s="127">
        <v>1.33333333333333</v>
      </c>
      <c r="G40" s="127">
        <v>7.0</v>
      </c>
      <c r="I40" s="135"/>
      <c r="J40" s="2">
        <v>9.0</v>
      </c>
      <c r="K40" s="88" t="s">
        <v>16</v>
      </c>
      <c r="L40" s="123">
        <f t="shared" si="13"/>
        <v>3.611111111</v>
      </c>
      <c r="M40" s="124">
        <f t="shared" si="14"/>
        <v>0.4012345679</v>
      </c>
      <c r="N40" s="125">
        <f t="shared" si="15"/>
        <v>1.222222222</v>
      </c>
      <c r="O40" s="126">
        <f t="shared" si="16"/>
        <v>0.1358024691</v>
      </c>
    </row>
    <row r="41">
      <c r="A41" s="166" t="s">
        <v>18</v>
      </c>
      <c r="B41" s="127">
        <v>0.333333333333333</v>
      </c>
      <c r="C41" s="127">
        <v>0.0</v>
      </c>
      <c r="D41" s="127">
        <v>0.0</v>
      </c>
      <c r="E41" s="127">
        <v>0.0</v>
      </c>
      <c r="F41" s="127">
        <v>0.0</v>
      </c>
      <c r="G41" s="127">
        <v>0.0</v>
      </c>
      <c r="I41" s="135"/>
      <c r="J41" s="2">
        <v>5.0</v>
      </c>
      <c r="K41" s="88" t="s">
        <v>18</v>
      </c>
      <c r="L41" s="123">
        <f t="shared" si="13"/>
        <v>0.05555555556</v>
      </c>
      <c r="M41" s="124">
        <f t="shared" si="14"/>
        <v>0.01111111111</v>
      </c>
      <c r="N41" s="125">
        <f t="shared" si="15"/>
        <v>0.7777777778</v>
      </c>
      <c r="O41" s="126">
        <f t="shared" si="16"/>
        <v>0.1555555556</v>
      </c>
    </row>
    <row r="42">
      <c r="A42" s="166" t="s">
        <v>4</v>
      </c>
      <c r="B42" s="127">
        <v>1.66666666666667</v>
      </c>
      <c r="C42" s="127">
        <v>2.0</v>
      </c>
      <c r="D42" s="127">
        <v>0.666666666666667</v>
      </c>
      <c r="E42" s="127">
        <v>5.33333333333333</v>
      </c>
      <c r="F42" s="127">
        <v>4.33333333333333</v>
      </c>
      <c r="G42" s="127">
        <v>5.33333333333333</v>
      </c>
      <c r="I42" s="135"/>
      <c r="J42" s="2">
        <v>27.0</v>
      </c>
      <c r="K42" s="88" t="s">
        <v>4</v>
      </c>
      <c r="L42" s="123">
        <f t="shared" si="13"/>
        <v>3.222222222</v>
      </c>
      <c r="M42" s="124">
        <f t="shared" si="14"/>
        <v>0.1193415638</v>
      </c>
      <c r="N42" s="125">
        <f t="shared" si="15"/>
        <v>8.166666667</v>
      </c>
      <c r="O42" s="126">
        <f t="shared" si="16"/>
        <v>0.3024691358</v>
      </c>
    </row>
    <row r="43">
      <c r="A43" s="166" t="s">
        <v>3</v>
      </c>
      <c r="B43" s="127">
        <v>18.6666666666667</v>
      </c>
      <c r="C43" s="127">
        <v>6.66666666666667</v>
      </c>
      <c r="D43" s="127">
        <v>6.66666666666667</v>
      </c>
      <c r="E43" s="127">
        <v>40.6666666666667</v>
      </c>
      <c r="F43" s="127">
        <v>2.0</v>
      </c>
      <c r="G43" s="127">
        <v>29.3333333333333</v>
      </c>
      <c r="I43" s="135"/>
      <c r="J43" s="2">
        <v>28.0</v>
      </c>
      <c r="K43" s="88" t="s">
        <v>3</v>
      </c>
      <c r="L43" s="123">
        <f t="shared" si="13"/>
        <v>17.33333333</v>
      </c>
      <c r="M43" s="124">
        <f t="shared" si="14"/>
        <v>0.619047619</v>
      </c>
      <c r="N43" s="125">
        <f t="shared" si="15"/>
        <v>1.944444444</v>
      </c>
      <c r="O43" s="126">
        <f t="shared" si="16"/>
        <v>0.06944444444</v>
      </c>
    </row>
    <row r="44">
      <c r="A44" s="166" t="s">
        <v>12</v>
      </c>
      <c r="B44" s="127">
        <v>3.0</v>
      </c>
      <c r="C44" s="127">
        <v>2.0</v>
      </c>
      <c r="D44" s="127">
        <v>1.33333333333333</v>
      </c>
      <c r="E44" s="127">
        <v>2.0</v>
      </c>
      <c r="F44" s="127">
        <v>1.0</v>
      </c>
      <c r="G44" s="127">
        <v>3.0</v>
      </c>
      <c r="I44" s="135"/>
      <c r="J44" s="2">
        <v>18.0</v>
      </c>
      <c r="K44" s="88" t="s">
        <v>12</v>
      </c>
      <c r="L44" s="123">
        <f t="shared" si="13"/>
        <v>2.055555556</v>
      </c>
      <c r="M44" s="124">
        <f t="shared" si="14"/>
        <v>0.1141975309</v>
      </c>
      <c r="N44" s="125">
        <f t="shared" si="15"/>
        <v>2.055555556</v>
      </c>
      <c r="O44" s="126">
        <f t="shared" si="16"/>
        <v>0.1141975309</v>
      </c>
    </row>
    <row r="45">
      <c r="A45" s="166" t="s">
        <v>9</v>
      </c>
      <c r="B45" s="127">
        <v>2.33333333333333</v>
      </c>
      <c r="C45" s="127">
        <v>0.333333333333333</v>
      </c>
      <c r="D45" s="127">
        <v>1.33333333333333</v>
      </c>
      <c r="E45" s="127">
        <v>6.0</v>
      </c>
      <c r="F45" s="127">
        <v>0.333333333333333</v>
      </c>
      <c r="G45" s="127">
        <v>2.33333333333333</v>
      </c>
      <c r="I45" s="135"/>
      <c r="J45" s="2">
        <v>22.0</v>
      </c>
      <c r="K45" s="88" t="s">
        <v>9</v>
      </c>
      <c r="L45" s="123">
        <f t="shared" si="13"/>
        <v>2.111111111</v>
      </c>
      <c r="M45" s="124">
        <f t="shared" si="14"/>
        <v>0.09595959596</v>
      </c>
      <c r="N45" s="125">
        <f t="shared" si="15"/>
        <v>3.055555556</v>
      </c>
      <c r="O45" s="126">
        <f t="shared" si="16"/>
        <v>0.1388888889</v>
      </c>
    </row>
    <row r="46">
      <c r="A46" s="166" t="s">
        <v>26</v>
      </c>
      <c r="B46" s="127">
        <v>0.333333333333333</v>
      </c>
      <c r="C46" s="127">
        <v>0.333333333333333</v>
      </c>
      <c r="D46" s="127">
        <v>0.333333333333333</v>
      </c>
      <c r="E46" s="127">
        <v>2.0</v>
      </c>
      <c r="F46" s="37">
        <v>0.0</v>
      </c>
      <c r="G46" s="127">
        <v>0.666666666666667</v>
      </c>
      <c r="I46" s="135"/>
      <c r="J46" s="2">
        <v>1.0</v>
      </c>
      <c r="K46" s="88" t="s">
        <v>26</v>
      </c>
      <c r="L46" s="123">
        <f t="shared" si="13"/>
        <v>0.6111111111</v>
      </c>
      <c r="M46" s="124">
        <f t="shared" si="14"/>
        <v>0.6111111111</v>
      </c>
      <c r="N46" s="125">
        <f t="shared" si="15"/>
        <v>0.2777777778</v>
      </c>
      <c r="O46" s="126">
        <f t="shared" si="16"/>
        <v>0.2777777778</v>
      </c>
    </row>
    <row r="47">
      <c r="A47" s="166" t="s">
        <v>17</v>
      </c>
      <c r="B47" s="127">
        <v>0.666666666666667</v>
      </c>
      <c r="C47" s="127">
        <v>1.0</v>
      </c>
      <c r="D47" s="127">
        <v>1.33333333333333</v>
      </c>
      <c r="E47" s="127">
        <v>2.33333333333333</v>
      </c>
      <c r="F47" s="127">
        <v>2.33333333333333</v>
      </c>
      <c r="G47" s="127">
        <v>1.0</v>
      </c>
      <c r="I47" s="135"/>
      <c r="J47" s="2">
        <v>9.0</v>
      </c>
      <c r="K47" s="88" t="s">
        <v>17</v>
      </c>
      <c r="L47" s="123">
        <f t="shared" si="13"/>
        <v>1.444444444</v>
      </c>
      <c r="M47" s="124">
        <f t="shared" si="14"/>
        <v>0.1604938272</v>
      </c>
      <c r="N47" s="125">
        <f t="shared" si="15"/>
        <v>2.333333333</v>
      </c>
      <c r="O47" s="126">
        <f t="shared" si="16"/>
        <v>0.2592592593</v>
      </c>
    </row>
    <row r="48">
      <c r="A48" s="166" t="s">
        <v>10</v>
      </c>
      <c r="B48" s="127">
        <v>6.66666666666667</v>
      </c>
      <c r="C48" s="127">
        <v>3.66666666666667</v>
      </c>
      <c r="D48" s="127">
        <v>9.0</v>
      </c>
      <c r="E48" s="127">
        <v>13.3333333333333</v>
      </c>
      <c r="F48" s="127">
        <v>1.0</v>
      </c>
      <c r="G48" s="127">
        <v>8.66666666666667</v>
      </c>
      <c r="I48" s="135"/>
      <c r="J48" s="2">
        <v>20.0</v>
      </c>
      <c r="K48" s="88" t="s">
        <v>10</v>
      </c>
      <c r="L48" s="123">
        <f t="shared" si="13"/>
        <v>7.055555556</v>
      </c>
      <c r="M48" s="124">
        <f t="shared" si="14"/>
        <v>0.3527777778</v>
      </c>
      <c r="N48" s="125">
        <f t="shared" si="15"/>
        <v>0.8888888889</v>
      </c>
      <c r="O48" s="126">
        <f t="shared" si="16"/>
        <v>0.04444444444</v>
      </c>
    </row>
    <row r="49">
      <c r="A49" s="160" t="s">
        <v>58</v>
      </c>
      <c r="B49" s="91" t="s">
        <v>30</v>
      </c>
      <c r="C49" s="91" t="s">
        <v>31</v>
      </c>
      <c r="D49" s="91" t="s">
        <v>32</v>
      </c>
      <c r="E49" s="91" t="s">
        <v>33</v>
      </c>
      <c r="F49" s="91" t="s">
        <v>34</v>
      </c>
      <c r="G49" s="161" t="s">
        <v>35</v>
      </c>
      <c r="H49" s="59"/>
      <c r="I49" s="59"/>
      <c r="J49" s="2">
        <v>1.0</v>
      </c>
      <c r="K49" s="2" t="s">
        <v>25</v>
      </c>
      <c r="L49" s="33">
        <v>0.0</v>
      </c>
      <c r="M49" s="124">
        <f t="shared" si="14"/>
        <v>0</v>
      </c>
      <c r="N49" s="154">
        <v>0.0</v>
      </c>
      <c r="O49" s="126">
        <f>N49/J48</f>
        <v>0</v>
      </c>
    </row>
    <row r="50">
      <c r="A50" s="163" t="s">
        <v>39</v>
      </c>
      <c r="B50" s="146" t="s">
        <v>65</v>
      </c>
      <c r="C50" s="146" t="s">
        <v>65</v>
      </c>
      <c r="D50" s="146" t="s">
        <v>65</v>
      </c>
      <c r="E50" s="146" t="s">
        <v>65</v>
      </c>
      <c r="F50" s="146" t="s">
        <v>65</v>
      </c>
      <c r="G50" s="146" t="s">
        <v>65</v>
      </c>
      <c r="H50" s="39"/>
      <c r="I50" s="39"/>
      <c r="J50" s="39"/>
      <c r="K50" s="39"/>
      <c r="L50" s="39"/>
      <c r="M50" s="39"/>
    </row>
    <row r="51">
      <c r="A51" s="165" t="s">
        <v>5</v>
      </c>
      <c r="B51" s="121">
        <v>2.0</v>
      </c>
      <c r="C51" s="121">
        <v>0.333333333333333</v>
      </c>
      <c r="D51" s="121">
        <v>0.666666666666667</v>
      </c>
      <c r="E51" s="121">
        <v>4.33333333333333</v>
      </c>
      <c r="F51" s="121">
        <v>1.0</v>
      </c>
      <c r="G51" s="121">
        <v>2.66666666666667</v>
      </c>
      <c r="H51" s="151"/>
      <c r="I51" s="135"/>
      <c r="J51" s="151"/>
      <c r="K51" s="135"/>
      <c r="L51" s="135"/>
      <c r="M51" s="135"/>
    </row>
    <row r="52">
      <c r="A52" s="166" t="s">
        <v>11</v>
      </c>
      <c r="B52" s="127">
        <v>1.66666666666667</v>
      </c>
      <c r="C52" s="127">
        <v>1.0</v>
      </c>
      <c r="D52" s="127">
        <v>2.0</v>
      </c>
      <c r="E52" s="127">
        <v>9.66666666666667</v>
      </c>
      <c r="F52" s="127">
        <v>1.33333333333333</v>
      </c>
      <c r="G52" s="127">
        <v>2.66666666666667</v>
      </c>
      <c r="H52" s="151"/>
      <c r="I52" s="135"/>
      <c r="J52" s="151"/>
      <c r="K52" s="135"/>
      <c r="L52" s="135"/>
      <c r="M52" s="135"/>
    </row>
    <row r="53">
      <c r="A53" s="166" t="s">
        <v>7</v>
      </c>
      <c r="B53" s="127">
        <v>1.33333333333333</v>
      </c>
      <c r="C53" s="127">
        <v>0.666666666666667</v>
      </c>
      <c r="D53" s="127">
        <v>0.333333333333333</v>
      </c>
      <c r="E53" s="127">
        <v>2.66666666666667</v>
      </c>
      <c r="F53" s="127">
        <v>1.66666666666667</v>
      </c>
      <c r="G53" s="127">
        <v>2.66666666666667</v>
      </c>
      <c r="H53" s="151"/>
      <c r="I53" s="135"/>
      <c r="J53" s="151"/>
      <c r="K53" s="135"/>
      <c r="L53" s="135"/>
      <c r="M53" s="135"/>
    </row>
    <row r="54">
      <c r="A54" s="166" t="s">
        <v>8</v>
      </c>
      <c r="B54" s="127">
        <v>3.66666666666667</v>
      </c>
      <c r="C54" s="127">
        <v>0.0</v>
      </c>
      <c r="D54" s="127">
        <v>2.33333333333333</v>
      </c>
      <c r="E54" s="127">
        <v>3.0</v>
      </c>
      <c r="F54" s="127">
        <v>1.0</v>
      </c>
      <c r="G54" s="127">
        <v>1.0</v>
      </c>
      <c r="H54" s="151"/>
      <c r="I54" s="135"/>
      <c r="J54" s="151"/>
      <c r="K54" s="135"/>
      <c r="L54" s="135"/>
      <c r="M54" s="135"/>
    </row>
    <row r="55">
      <c r="A55" s="166" t="s">
        <v>21</v>
      </c>
      <c r="B55" s="127">
        <v>0.0</v>
      </c>
      <c r="C55" s="127">
        <v>0.0</v>
      </c>
      <c r="D55" s="127">
        <v>0.0</v>
      </c>
      <c r="E55" s="127">
        <v>0.0</v>
      </c>
      <c r="F55" s="127">
        <v>0.0</v>
      </c>
      <c r="G55" s="127">
        <v>0.0</v>
      </c>
      <c r="H55" s="151"/>
      <c r="I55" s="135"/>
      <c r="J55" s="151"/>
      <c r="K55" s="135"/>
      <c r="L55" s="135"/>
      <c r="M55" s="135"/>
    </row>
    <row r="56">
      <c r="A56" s="167" t="s">
        <v>20</v>
      </c>
      <c r="B56" s="127">
        <v>0.333333333333333</v>
      </c>
      <c r="C56" s="127">
        <v>0.0</v>
      </c>
      <c r="D56" s="127">
        <v>0.0</v>
      </c>
      <c r="E56" s="127">
        <v>0.0</v>
      </c>
      <c r="F56" s="127">
        <v>0.0</v>
      </c>
      <c r="G56" s="127">
        <v>0.333333333333333</v>
      </c>
      <c r="H56" s="135"/>
      <c r="I56" s="135"/>
      <c r="J56" s="135"/>
      <c r="K56" s="135"/>
      <c r="L56" s="135"/>
      <c r="M56" s="135"/>
    </row>
    <row r="57">
      <c r="A57" s="166" t="s">
        <v>13</v>
      </c>
      <c r="B57" s="127">
        <v>0.666666666666667</v>
      </c>
      <c r="C57" s="127">
        <v>0.666666666666667</v>
      </c>
      <c r="D57" s="127">
        <v>0.333333333333333</v>
      </c>
      <c r="E57" s="127">
        <v>3.33333333333333</v>
      </c>
      <c r="F57" s="127">
        <v>1.0</v>
      </c>
      <c r="G57" s="127">
        <v>0.666666666666667</v>
      </c>
      <c r="H57" s="151"/>
      <c r="I57" s="135"/>
      <c r="J57" s="151"/>
      <c r="K57" s="135"/>
      <c r="L57" s="135"/>
      <c r="M57" s="135"/>
    </row>
    <row r="58">
      <c r="A58" s="166" t="s">
        <v>14</v>
      </c>
      <c r="B58" s="127">
        <v>2.33333333333333</v>
      </c>
      <c r="C58" s="127">
        <v>0.333333333333333</v>
      </c>
      <c r="D58" s="127">
        <v>1.33333333333333</v>
      </c>
      <c r="E58" s="127">
        <v>0.666666666666667</v>
      </c>
      <c r="F58" s="127">
        <v>0.0</v>
      </c>
      <c r="G58" s="127">
        <v>1.33333333333333</v>
      </c>
      <c r="H58" s="151"/>
      <c r="I58" s="135"/>
      <c r="J58" s="151"/>
      <c r="K58" s="135"/>
      <c r="L58" s="135"/>
      <c r="M58" s="135"/>
    </row>
    <row r="59">
      <c r="A59" s="166" t="s">
        <v>2</v>
      </c>
      <c r="B59" s="127">
        <v>1.66666666666667</v>
      </c>
      <c r="C59" s="127">
        <v>0.333333333333333</v>
      </c>
      <c r="D59" s="127">
        <v>0.0</v>
      </c>
      <c r="E59" s="127">
        <v>1.66666666666667</v>
      </c>
      <c r="F59" s="127">
        <v>1.0</v>
      </c>
      <c r="G59" s="127">
        <v>2.0</v>
      </c>
      <c r="H59" s="151"/>
      <c r="I59" s="135"/>
      <c r="J59" s="151"/>
      <c r="K59" s="135"/>
      <c r="L59" s="135"/>
      <c r="M59" s="135"/>
    </row>
    <row r="60">
      <c r="A60" s="166" t="s">
        <v>22</v>
      </c>
      <c r="B60" s="127">
        <v>1.33333333333333</v>
      </c>
      <c r="C60" s="127">
        <v>0.333333333333333</v>
      </c>
      <c r="D60" s="127">
        <v>1.66666666666667</v>
      </c>
      <c r="E60" s="127">
        <v>1.66666666666667</v>
      </c>
      <c r="F60" s="127">
        <v>0.666666666666667</v>
      </c>
      <c r="G60" s="127">
        <v>1.33333333333333</v>
      </c>
      <c r="H60" s="151"/>
      <c r="I60" s="135"/>
      <c r="J60" s="151"/>
      <c r="K60" s="135"/>
      <c r="L60" s="135"/>
      <c r="M60" s="135"/>
    </row>
    <row r="61">
      <c r="A61" s="167" t="s">
        <v>23</v>
      </c>
      <c r="B61" s="127">
        <v>0.333333333333333</v>
      </c>
      <c r="C61" s="127">
        <v>0.0</v>
      </c>
      <c r="D61" s="127">
        <v>0.0</v>
      </c>
      <c r="E61" s="127">
        <v>0.666666666666667</v>
      </c>
      <c r="F61" s="127">
        <v>0.666666666666667</v>
      </c>
      <c r="G61" s="127">
        <v>0.666666666666667</v>
      </c>
      <c r="H61" s="135"/>
      <c r="I61" s="135"/>
      <c r="J61" s="135"/>
      <c r="K61" s="135"/>
      <c r="L61" s="135"/>
      <c r="M61" s="135"/>
    </row>
    <row r="62">
      <c r="A62" s="167" t="s">
        <v>24</v>
      </c>
      <c r="B62" s="127">
        <v>0.0</v>
      </c>
      <c r="C62" s="127">
        <v>0.0</v>
      </c>
      <c r="D62" s="127">
        <v>0.0</v>
      </c>
      <c r="E62" s="127">
        <v>0.0</v>
      </c>
      <c r="F62" s="127">
        <v>0.0</v>
      </c>
      <c r="G62" s="127">
        <v>0.0</v>
      </c>
      <c r="H62" s="135"/>
      <c r="I62" s="135"/>
      <c r="J62" s="135"/>
      <c r="K62" s="135"/>
      <c r="L62" s="135"/>
      <c r="M62" s="135"/>
    </row>
    <row r="63">
      <c r="A63" s="166" t="s">
        <v>19</v>
      </c>
      <c r="B63" s="127">
        <v>0.666666666666667</v>
      </c>
      <c r="C63" s="127">
        <v>0.0</v>
      </c>
      <c r="D63" s="127">
        <v>0.666666666666667</v>
      </c>
      <c r="E63" s="127">
        <v>1.33333333333333</v>
      </c>
      <c r="F63" s="127">
        <v>1.0</v>
      </c>
      <c r="G63" s="127">
        <v>1.0</v>
      </c>
      <c r="H63" s="151"/>
      <c r="I63" s="135"/>
      <c r="J63" s="151"/>
      <c r="K63" s="135"/>
      <c r="L63" s="135"/>
      <c r="M63" s="135"/>
    </row>
    <row r="64">
      <c r="A64" s="166" t="s">
        <v>15</v>
      </c>
      <c r="B64" s="127">
        <v>0.0</v>
      </c>
      <c r="C64" s="127">
        <v>0.0</v>
      </c>
      <c r="D64" s="127">
        <v>0.666666666666667</v>
      </c>
      <c r="E64" s="127">
        <v>1.66666666666667</v>
      </c>
      <c r="F64" s="127">
        <v>0.0</v>
      </c>
      <c r="G64" s="127">
        <v>2.66666666666667</v>
      </c>
      <c r="H64" s="151"/>
      <c r="I64" s="135"/>
      <c r="J64" s="151"/>
      <c r="K64" s="135"/>
      <c r="L64" s="135"/>
      <c r="M64" s="135"/>
    </row>
    <row r="65">
      <c r="A65" s="166" t="s">
        <v>6</v>
      </c>
      <c r="B65" s="127">
        <v>1.0</v>
      </c>
      <c r="C65" s="127">
        <v>0.0</v>
      </c>
      <c r="D65" s="127">
        <v>1.66666666666667</v>
      </c>
      <c r="E65" s="127">
        <v>6.66666666666667</v>
      </c>
      <c r="F65" s="127">
        <v>0.666666666666667</v>
      </c>
      <c r="G65" s="127">
        <v>4.33333333333333</v>
      </c>
      <c r="H65" s="151"/>
      <c r="I65" s="135"/>
      <c r="J65" s="151"/>
      <c r="K65" s="135"/>
      <c r="L65" s="135"/>
      <c r="M65" s="135"/>
    </row>
    <row r="66">
      <c r="A66" s="166" t="s">
        <v>16</v>
      </c>
      <c r="B66" s="127">
        <v>0.0</v>
      </c>
      <c r="C66" s="127">
        <v>1.0</v>
      </c>
      <c r="D66" s="127">
        <v>1.66666666666667</v>
      </c>
      <c r="E66" s="127">
        <v>2.66666666666667</v>
      </c>
      <c r="F66" s="127">
        <v>1.0</v>
      </c>
      <c r="G66" s="127">
        <v>1.0</v>
      </c>
      <c r="H66" s="151"/>
      <c r="I66" s="135"/>
      <c r="J66" s="151"/>
      <c r="K66" s="135"/>
      <c r="L66" s="135"/>
      <c r="M66" s="135"/>
    </row>
    <row r="67">
      <c r="A67" s="166" t="s">
        <v>18</v>
      </c>
      <c r="B67" s="127">
        <v>0.0</v>
      </c>
      <c r="C67" s="127">
        <v>0.0</v>
      </c>
      <c r="D67" s="127">
        <v>0.333333333333333</v>
      </c>
      <c r="E67" s="127">
        <v>1.33333333333333</v>
      </c>
      <c r="F67" s="127">
        <v>0.0</v>
      </c>
      <c r="G67" s="127">
        <v>3.0</v>
      </c>
      <c r="H67" s="151"/>
      <c r="I67" s="135"/>
      <c r="J67" s="151"/>
      <c r="K67" s="135"/>
      <c r="L67" s="135"/>
      <c r="M67" s="135"/>
    </row>
    <row r="68">
      <c r="A68" s="166" t="s">
        <v>4</v>
      </c>
      <c r="B68" s="127">
        <v>1.66666666666667</v>
      </c>
      <c r="C68" s="127">
        <v>4.66666666666667</v>
      </c>
      <c r="D68" s="127">
        <v>6.33333333333333</v>
      </c>
      <c r="E68" s="127">
        <v>15.0</v>
      </c>
      <c r="F68" s="127">
        <v>10.3333333333333</v>
      </c>
      <c r="G68" s="127">
        <v>11.0</v>
      </c>
      <c r="H68" s="151"/>
      <c r="I68" s="135"/>
      <c r="J68" s="151"/>
      <c r="K68" s="135"/>
      <c r="L68" s="135"/>
      <c r="M68" s="135"/>
    </row>
    <row r="69">
      <c r="A69" s="166" t="s">
        <v>3</v>
      </c>
      <c r="B69" s="127">
        <v>0.0</v>
      </c>
      <c r="C69" s="127">
        <v>0.0</v>
      </c>
      <c r="D69" s="127">
        <v>1.33333333333333</v>
      </c>
      <c r="E69" s="127">
        <v>7.0</v>
      </c>
      <c r="F69" s="127">
        <v>0.333333333333333</v>
      </c>
      <c r="G69" s="127">
        <v>3.0</v>
      </c>
      <c r="H69" s="151"/>
      <c r="I69" s="135"/>
      <c r="J69" s="151"/>
      <c r="K69" s="135"/>
      <c r="L69" s="135"/>
      <c r="M69" s="135"/>
    </row>
    <row r="70">
      <c r="A70" s="166" t="s">
        <v>12</v>
      </c>
      <c r="B70" s="127">
        <v>3.0</v>
      </c>
      <c r="C70" s="127">
        <v>0.0</v>
      </c>
      <c r="D70" s="127">
        <v>2.0</v>
      </c>
      <c r="E70" s="127">
        <v>4.33333333333333</v>
      </c>
      <c r="F70" s="127">
        <v>1.66666666666667</v>
      </c>
      <c r="G70" s="127">
        <v>1.33333333333333</v>
      </c>
      <c r="H70" s="151"/>
      <c r="I70" s="135"/>
      <c r="J70" s="151"/>
      <c r="K70" s="135"/>
      <c r="L70" s="135"/>
      <c r="M70" s="135"/>
    </row>
    <row r="71">
      <c r="A71" s="166" t="s">
        <v>9</v>
      </c>
      <c r="B71" s="127">
        <v>1.66666666666667</v>
      </c>
      <c r="C71" s="127">
        <v>1.33333333333333</v>
      </c>
      <c r="D71" s="127">
        <v>4.0</v>
      </c>
      <c r="E71" s="127">
        <v>5.33333333333333</v>
      </c>
      <c r="F71" s="127">
        <v>2.33333333333333</v>
      </c>
      <c r="G71" s="127">
        <v>3.66666666666667</v>
      </c>
      <c r="H71" s="151"/>
      <c r="I71" s="135"/>
      <c r="J71" s="151"/>
      <c r="K71" s="135"/>
      <c r="L71" s="135"/>
      <c r="M71" s="135"/>
    </row>
    <row r="72">
      <c r="A72" s="166" t="s">
        <v>26</v>
      </c>
      <c r="B72" s="127">
        <v>0.0</v>
      </c>
      <c r="C72" s="127">
        <v>0.0</v>
      </c>
      <c r="D72" s="127">
        <v>0.333333333333333</v>
      </c>
      <c r="E72" s="127">
        <v>0.0</v>
      </c>
      <c r="F72" s="127">
        <v>0.0</v>
      </c>
      <c r="G72" s="127">
        <v>1.33333333333333</v>
      </c>
      <c r="H72" s="151"/>
      <c r="I72" s="135"/>
      <c r="J72" s="151"/>
      <c r="K72" s="135"/>
      <c r="L72" s="135"/>
      <c r="M72" s="135"/>
    </row>
    <row r="73">
      <c r="A73" s="166" t="s">
        <v>17</v>
      </c>
      <c r="B73" s="127">
        <v>1.66666666666667</v>
      </c>
      <c r="C73" s="127">
        <v>0.666666666666667</v>
      </c>
      <c r="D73" s="127">
        <v>3.66666666666667</v>
      </c>
      <c r="E73" s="127">
        <v>4.33333333333333</v>
      </c>
      <c r="F73" s="127">
        <v>1.66666666666667</v>
      </c>
      <c r="G73" s="127">
        <v>2.0</v>
      </c>
      <c r="H73" s="151"/>
      <c r="I73" s="135"/>
      <c r="J73" s="151"/>
      <c r="K73" s="135"/>
      <c r="L73" s="135"/>
      <c r="M73" s="135"/>
    </row>
    <row r="74">
      <c r="A74" s="168" t="s">
        <v>10</v>
      </c>
      <c r="B74" s="130">
        <v>0.666666666666667</v>
      </c>
      <c r="C74" s="130">
        <v>0.0</v>
      </c>
      <c r="D74" s="130">
        <v>1.33333333333333</v>
      </c>
      <c r="E74" s="130">
        <v>2.0</v>
      </c>
      <c r="F74" s="130">
        <v>0.0</v>
      </c>
      <c r="G74" s="130">
        <v>1.33333333333333</v>
      </c>
      <c r="H74" s="151"/>
      <c r="I74" s="135"/>
      <c r="J74" s="151"/>
      <c r="K74" s="135"/>
      <c r="L74" s="135"/>
      <c r="M74" s="135"/>
    </row>
  </sheetData>
  <conditionalFormatting sqref="A1 A3:D3 N3:P3 A11:B11 C11:D12 N11:P12 M12 A21 A23:T23 A49:M49">
    <cfRule type="containsText" dxfId="0" priority="1" operator="containsText" text="Match found">
      <formula>NOT(ISERROR(SEARCH(("Match found"),(A1))))</formula>
    </cfRule>
  </conditionalFormatting>
  <drawing r:id="rId1"/>
</worksheet>
</file>