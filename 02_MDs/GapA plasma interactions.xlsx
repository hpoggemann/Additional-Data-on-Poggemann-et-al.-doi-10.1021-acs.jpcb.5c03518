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uelist GapA" sheetId="1" r:id="rId4"/>
    <sheet state="visible" name="SASA_300K" sheetId="2" r:id="rId5"/>
    <sheet state="visible" name="SASA_400K" sheetId="3" r:id="rId6"/>
    <sheet state="visible" name="SASA_500K" sheetId="4" r:id="rId7"/>
    <sheet state="visible" name="SASA_MD" sheetId="5" r:id="rId8"/>
    <sheet state="visible" name="Conc_MD_300K" sheetId="6" r:id="rId9"/>
    <sheet state="visible" name="Conc_MD_400K" sheetId="7" r:id="rId10"/>
    <sheet state="visible" name="Conc_MD_500K" sheetId="8" r:id="rId11"/>
  </sheets>
  <definedNames/>
  <calcPr/>
</workbook>
</file>

<file path=xl/sharedStrings.xml><?xml version="1.0" encoding="utf-8"?>
<sst xmlns="http://schemas.openxmlformats.org/spreadsheetml/2006/main" count="1909" uniqueCount="83">
  <si>
    <t>Residue</t>
  </si>
  <si>
    <t>Amount</t>
  </si>
  <si>
    <t>ALA</t>
  </si>
  <si>
    <t>VAL</t>
  </si>
  <si>
    <t>THR</t>
  </si>
  <si>
    <t>GLY</t>
  </si>
  <si>
    <t>LEU</t>
  </si>
  <si>
    <t>ILE</t>
  </si>
  <si>
    <t>LYS</t>
  </si>
  <si>
    <t>SER</t>
  </si>
  <si>
    <t>GLU</t>
  </si>
  <si>
    <t>ASP</t>
  </si>
  <si>
    <t>ASN</t>
  </si>
  <si>
    <t>PHE</t>
  </si>
  <si>
    <t>PRO</t>
  </si>
  <si>
    <t>ARG</t>
  </si>
  <si>
    <t>TYR</t>
  </si>
  <si>
    <t>GLN</t>
  </si>
  <si>
    <t>HISE</t>
  </si>
  <si>
    <t>MET</t>
  </si>
  <si>
    <t>CYS</t>
  </si>
  <si>
    <t>TRP</t>
  </si>
  <si>
    <t>HISD</t>
  </si>
  <si>
    <t>SASA Results</t>
  </si>
  <si>
    <t>Low energy positions are in the active pocket</t>
  </si>
  <si>
    <t>*active pocket was defined as the SASA points in a range of 8 Angström around the reactive atoms in the center (S)</t>
  </si>
  <si>
    <t xml:space="preserve">The 30 positions with the lowest interaction energies, images and details can be fount in 00_SASA </t>
  </si>
  <si>
    <t>H</t>
  </si>
  <si>
    <t>H2O2</t>
  </si>
  <si>
    <t>NO</t>
  </si>
  <si>
    <t>O</t>
  </si>
  <si>
    <t>O2</t>
  </si>
  <si>
    <t>OH</t>
  </si>
  <si>
    <t>x</t>
  </si>
  <si>
    <t>y</t>
  </si>
  <si>
    <t>z</t>
  </si>
  <si>
    <t>Res</t>
  </si>
  <si>
    <t>E_int / eV</t>
  </si>
  <si>
    <t>[ 1.8  2.7 -9.2] THR</t>
  </si>
  <si>
    <t>[-1.2 10.  -4.4] THR</t>
  </si>
  <si>
    <t>[ 1.4  2.4 -8.7] THR</t>
  </si>
  <si>
    <t>[-1.3 10.6 -3.8] GLY</t>
  </si>
  <si>
    <t>[ 2.1  4.9 -2.5] CYS</t>
  </si>
  <si>
    <t>[-0.7 11.3 -4.7] GLY</t>
  </si>
  <si>
    <t>[ 1.2  3.  -8.6] HISD</t>
  </si>
  <si>
    <t>[ 4.1  4.4 -6.7] GLY</t>
  </si>
  <si>
    <t>Input positions for SASA MDs</t>
  </si>
  <si>
    <t>[-3.8  1.3 -5.3]</t>
  </si>
  <si>
    <t>[-3.3  1.1 -4.9]</t>
  </si>
  <si>
    <t>[-3.8  8.9 -2.2]</t>
  </si>
  <si>
    <t>[-5.8  9.9  3.6]</t>
  </si>
  <si>
    <t>[-5.9  9.1  2.5]</t>
  </si>
  <si>
    <t>[-4.4  8.  -1.7]</t>
  </si>
  <si>
    <t>[-1.4  4.9  2.8]</t>
  </si>
  <si>
    <t>[-3.6  1.  -5.2]</t>
  </si>
  <si>
    <t>[2.1 0.3 6.7]</t>
  </si>
  <si>
    <t>[-1.5  9.2 -2.8]</t>
  </si>
  <si>
    <t>[2.2 1.3 7.4]</t>
  </si>
  <si>
    <t>REMARK: For 500K no real active pocket exists anymore, since the protein has already collaped doe to the heat</t>
  </si>
  <si>
    <t>First EM then short MDs (75 fs) of ten strongest interacting positions from SASA, to check if really a bond forms</t>
  </si>
  <si>
    <t>* Only bonds to the enzyme where counted all bonds to solvent molecules were ignored</t>
  </si>
  <si>
    <t>300 K</t>
  </si>
  <si>
    <t>VACUUM</t>
  </si>
  <si>
    <t>Atom Type</t>
  </si>
  <si>
    <t>-</t>
  </si>
  <si>
    <t>SOLVENT</t>
  </si>
  <si>
    <t>400 K</t>
  </si>
  <si>
    <t>500 K</t>
  </si>
  <si>
    <t>N</t>
  </si>
  <si>
    <t>Atom specific interactions</t>
  </si>
  <si>
    <t>3 runs with different random orientation of 100 plasma species, these are the total interaction numbers, images and details in 02_Conc_MD</t>
  </si>
  <si>
    <t>Atom type</t>
  </si>
  <si>
    <t>Mean</t>
  </si>
  <si>
    <t>C</t>
  </si>
  <si>
    <t>S</t>
  </si>
  <si>
    <t>Residue specific interactions</t>
  </si>
  <si>
    <t>Total interactions</t>
  </si>
  <si>
    <t>Tot. no of AS</t>
  </si>
  <si>
    <t>Vacuum</t>
  </si>
  <si>
    <t>Vacuum %</t>
  </si>
  <si>
    <t>Solvent</t>
  </si>
  <si>
    <t>Solvent %</t>
  </si>
  <si>
    <t>HIS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</si>
</sst>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5.0"/>
      <color theme="1"/>
      <name val="Arial"/>
      <scheme val="minor"/>
    </font>
    <font>
      <b/>
      <sz val="15.0"/>
      <color theme="1"/>
      <name val="Arial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theme="1"/>
      <name val="Arial"/>
    </font>
    <font>
      <sz val="10.0"/>
      <color theme="1"/>
      <name val="Arial"/>
      <scheme val="minor"/>
    </font>
    <font>
      <sz val="9.0"/>
      <color rgb="FF000000"/>
      <name val="&quot;Google Sans Mono&quot;"/>
    </font>
    <font>
      <sz val="9.0"/>
      <color rgb="FF000000"/>
      <name val="Arial"/>
      <scheme val="minor"/>
    </font>
    <font>
      <b/>
      <u/>
      <sz val="12.0"/>
      <color rgb="FF0000FF"/>
    </font>
    <font>
      <b/>
      <sz val="12.0"/>
      <color theme="1"/>
      <name val="Arial"/>
      <scheme val="minor"/>
    </font>
    <font>
      <b/>
      <sz val="20.0"/>
      <color theme="1"/>
      <name val="Arial"/>
      <scheme val="minor"/>
    </font>
    <font>
      <sz val="8.0"/>
      <color theme="1"/>
      <name val="&quot;Liberation Sans&quot;"/>
    </font>
    <font>
      <b/>
      <sz val="10.0"/>
      <color theme="1"/>
      <name val="Arial"/>
      <scheme val="minor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1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3" numFmtId="0" xfId="0" applyAlignment="1" applyFont="1">
      <alignment horizontal="center" shrinkToFit="0" vertical="center" wrapText="0"/>
    </xf>
    <xf borderId="0" fillId="2" fontId="7" numFmtId="0" xfId="0" applyAlignment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7" numFmtId="0" xfId="0" applyAlignment="1" applyBorder="1" applyFont="1">
      <alignment horizontal="center" readingOrder="0"/>
    </xf>
    <xf borderId="2" fillId="2" fontId="8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center" vertical="bottom"/>
    </xf>
    <xf borderId="3" fillId="2" fontId="8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2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10" numFmtId="0" xfId="0" applyFont="1"/>
    <xf borderId="0" fillId="3" fontId="10" numFmtId="0" xfId="0" applyFill="1" applyFont="1"/>
    <xf borderId="4" fillId="4" fontId="2" numFmtId="0" xfId="0" applyAlignment="1" applyBorder="1" applyFill="1" applyFont="1">
      <alignment horizontal="center" readingOrder="0"/>
    </xf>
    <xf borderId="5" fillId="4" fontId="2" numFmtId="0" xfId="0" applyAlignment="1" applyBorder="1" applyFont="1">
      <alignment horizontal="center" readingOrder="0"/>
    </xf>
    <xf borderId="6" fillId="4" fontId="2" numFmtId="0" xfId="0" applyAlignment="1" applyBorder="1" applyFont="1">
      <alignment horizontal="center" readingOrder="0"/>
    </xf>
    <xf borderId="7" fillId="4" fontId="2" numFmtId="0" xfId="0" applyAlignment="1" applyBorder="1" applyFont="1">
      <alignment horizontal="center" readingOrder="0"/>
    </xf>
    <xf borderId="0" fillId="4" fontId="2" numFmtId="0" xfId="0" applyAlignment="1" applyFont="1">
      <alignment horizontal="center" readingOrder="0"/>
    </xf>
    <xf borderId="8" fillId="4" fontId="2" numFmtId="0" xfId="0" applyAlignment="1" applyBorder="1" applyFont="1">
      <alignment horizontal="center" readingOrder="0"/>
    </xf>
    <xf borderId="0" fillId="0" fontId="0" numFmtId="0" xfId="0" applyAlignment="1" applyFont="1">
      <alignment horizontal="center"/>
    </xf>
    <xf borderId="0" fillId="0" fontId="11" numFmtId="0" xfId="0" applyAlignment="1" applyFont="1">
      <alignment horizontal="center"/>
    </xf>
    <xf borderId="7" fillId="4" fontId="2" numFmtId="164" xfId="0" applyAlignment="1" applyBorder="1" applyFont="1" applyNumberForma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4" fontId="2" numFmtId="1" xfId="0" applyAlignment="1" applyFont="1" applyNumberFormat="1">
      <alignment horizontal="center" readingOrder="0"/>
    </xf>
    <xf borderId="8" fillId="4" fontId="2" numFmtId="164" xfId="0" applyAlignment="1" applyBorder="1" applyFont="1" applyNumberFormat="1">
      <alignment horizontal="center" readingOrder="0"/>
    </xf>
    <xf borderId="7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 readingOrder="0"/>
    </xf>
    <xf borderId="8" fillId="0" fontId="2" numFmtId="164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0" fillId="0" fontId="8" numFmtId="0" xfId="0" applyAlignment="1" applyFont="1">
      <alignment vertical="bottom"/>
    </xf>
    <xf borderId="0" fillId="0" fontId="6" numFmtId="0" xfId="0" applyAlignment="1" applyFont="1">
      <alignment horizontal="center" readingOrder="0"/>
    </xf>
    <xf borderId="7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8" fillId="0" fontId="3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7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8" fillId="0" fontId="3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2" fillId="4" fontId="12" numFmtId="0" xfId="0" applyAlignment="1" applyBorder="1" applyFont="1">
      <alignment horizontal="left" readingOrder="0"/>
    </xf>
    <xf borderId="1" fillId="4" fontId="13" numFmtId="0" xfId="0" applyAlignment="1" applyBorder="1" applyFont="1">
      <alignment horizontal="center"/>
    </xf>
    <xf borderId="3" fillId="4" fontId="13" numFmtId="0" xfId="0" applyAlignment="1" applyBorder="1" applyFont="1">
      <alignment horizontal="center"/>
    </xf>
    <xf borderId="0" fillId="0" fontId="14" numFmtId="0" xfId="0" applyAlignment="1" applyFont="1">
      <alignment readingOrder="0"/>
    </xf>
    <xf borderId="5" fillId="2" fontId="1" numFmtId="0" xfId="0" applyAlignment="1" applyBorder="1" applyFont="1">
      <alignment horizontal="center"/>
    </xf>
    <xf borderId="4" fillId="2" fontId="8" numFmtId="0" xfId="0" applyAlignment="1" applyBorder="1" applyFont="1">
      <alignment horizontal="center" vertical="bottom"/>
    </xf>
    <xf borderId="5" fillId="2" fontId="3" numFmtId="0" xfId="0" applyAlignment="1" applyBorder="1" applyFont="1">
      <alignment vertical="bottom"/>
    </xf>
    <xf borderId="0" fillId="5" fontId="3" numFmtId="0" xfId="0" applyAlignment="1" applyFill="1" applyFont="1">
      <alignment vertical="bottom"/>
    </xf>
    <xf borderId="2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5" fontId="3" numFmtId="0" xfId="0" applyAlignment="1" applyFont="1">
      <alignment horizontal="right" vertical="bottom"/>
    </xf>
    <xf borderId="7" fillId="0" fontId="3" numFmtId="0" xfId="0" applyAlignment="1" applyBorder="1" applyFont="1">
      <alignment horizontal="center" readingOrder="0" vertical="bottom"/>
    </xf>
    <xf borderId="8" fillId="0" fontId="3" numFmtId="2" xfId="0" applyAlignment="1" applyBorder="1" applyFont="1" applyNumberFormat="1">
      <alignment horizontal="center" readingOrder="0" vertical="bottom"/>
    </xf>
    <xf borderId="7" fillId="0" fontId="3" numFmtId="0" xfId="0" applyAlignment="1" applyBorder="1" applyFont="1">
      <alignment horizontal="center" vertical="bottom"/>
    </xf>
    <xf borderId="8" fillId="0" fontId="3" numFmtId="2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6" fillId="0" fontId="3" numFmtId="2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7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12" fillId="0" fontId="6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readingOrder="0"/>
    </xf>
    <xf borderId="5" fillId="2" fontId="7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/>
    </xf>
    <xf borderId="2" fillId="2" fontId="7" numFmtId="0" xfId="0" applyAlignment="1" applyBorder="1" applyFont="1">
      <alignment horizontal="center" readingOrder="0"/>
    </xf>
    <xf borderId="13" fillId="0" fontId="6" numFmtId="0" xfId="0" applyAlignment="1" applyBorder="1" applyFont="1">
      <alignment horizontal="center" readingOrder="0"/>
    </xf>
    <xf borderId="14" fillId="0" fontId="6" numFmtId="0" xfId="0" applyAlignment="1" applyBorder="1" applyFont="1">
      <alignment horizontal="center" readingOrder="0"/>
    </xf>
    <xf borderId="0" fillId="0" fontId="15" numFmtId="0" xfId="0" applyAlignment="1" applyFont="1">
      <alignment horizontal="right" readingOrder="0"/>
    </xf>
    <xf borderId="6" fillId="0" fontId="2" numFmtId="2" xfId="0" applyAlignment="1" applyBorder="1" applyFont="1" applyNumberFormat="1">
      <alignment horizontal="right"/>
    </xf>
    <xf borderId="0" fillId="0" fontId="2" numFmtId="2" xfId="0" applyFont="1" applyNumberFormat="1"/>
    <xf borderId="7" fillId="0" fontId="2" numFmtId="0" xfId="0" applyAlignment="1" applyBorder="1" applyFont="1">
      <alignment readingOrder="0"/>
    </xf>
    <xf borderId="8" fillId="0" fontId="2" numFmtId="2" xfId="0" applyBorder="1" applyFont="1" applyNumberFormat="1"/>
    <xf borderId="7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  <xf borderId="8" fillId="0" fontId="2" numFmtId="2" xfId="0" applyAlignment="1" applyBorder="1" applyFont="1" applyNumberFormat="1">
      <alignment horizontal="right"/>
    </xf>
    <xf borderId="7" fillId="0" fontId="2" numFmtId="0" xfId="0" applyBorder="1" applyFont="1"/>
    <xf borderId="8" fillId="0" fontId="2" numFmtId="0" xfId="0" applyBorder="1" applyFont="1"/>
    <xf borderId="15" fillId="0" fontId="6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right" readingOrder="0"/>
    </xf>
    <xf borderId="10" fillId="0" fontId="2" numFmtId="0" xfId="0" applyAlignment="1" applyBorder="1" applyFont="1">
      <alignment horizontal="right" readingOrder="0"/>
    </xf>
    <xf borderId="11" fillId="0" fontId="2" numFmtId="2" xfId="0" applyAlignment="1" applyBorder="1" applyFont="1" applyNumberFormat="1">
      <alignment horizontal="right"/>
    </xf>
    <xf borderId="10" fillId="0" fontId="2" numFmtId="0" xfId="0" applyAlignment="1" applyBorder="1" applyFont="1">
      <alignment readingOrder="0"/>
    </xf>
    <xf borderId="10" fillId="0" fontId="2" numFmtId="2" xfId="0" applyBorder="1" applyFont="1" applyNumberForma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1" fillId="0" fontId="2" numFmtId="2" xfId="0" applyBorder="1" applyFont="1" applyNumberFormat="1"/>
    <xf borderId="9" fillId="0" fontId="2" numFmtId="0" xfId="0" applyAlignment="1" applyBorder="1" applyFont="1">
      <alignment readingOrder="0"/>
    </xf>
    <xf borderId="12" fillId="2" fontId="16" numFmtId="0" xfId="0" applyAlignment="1" applyBorder="1" applyFont="1">
      <alignment horizontal="center" readingOrder="0" vertical="center"/>
    </xf>
    <xf borderId="12" fillId="2" fontId="7" numFmtId="0" xfId="0" applyAlignment="1" applyBorder="1" applyFont="1">
      <alignment horizontal="center" readingOrder="0"/>
    </xf>
    <xf borderId="4" fillId="2" fontId="7" numFmtId="0" xfId="0" applyAlignment="1" applyBorder="1" applyFont="1">
      <alignment horizontal="left" readingOrder="0"/>
    </xf>
    <xf borderId="12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6" fillId="0" fontId="2" numFmtId="2" xfId="0" applyAlignment="1" applyBorder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0" fillId="0" fontId="2" numFmtId="10" xfId="0" applyAlignment="1" applyFont="1" applyNumberFormat="1">
      <alignment horizontal="center" readingOrder="0"/>
    </xf>
    <xf borderId="0" fillId="3" fontId="0" numFmtId="1" xfId="0" applyFont="1" applyNumberFormat="1"/>
    <xf borderId="0" fillId="0" fontId="2" numFmtId="10" xfId="0" applyFont="1" applyNumberFormat="1"/>
    <xf borderId="8" fillId="0" fontId="2" numFmtId="2" xfId="0" applyAlignment="1" applyBorder="1" applyFont="1" applyNumberFormat="1">
      <alignment horizontal="center" readingOrder="0"/>
    </xf>
    <xf borderId="0" fillId="3" fontId="0" numFmtId="1" xfId="0" applyAlignment="1" applyFont="1" applyNumberFormat="1">
      <alignment readingOrder="0"/>
    </xf>
    <xf borderId="0" fillId="0" fontId="2" numFmtId="2" xfId="0" applyAlignment="1" applyFont="1" applyNumberFormat="1">
      <alignment horizontal="center"/>
    </xf>
    <xf borderId="6" fillId="0" fontId="2" numFmtId="2" xfId="0" applyAlignment="1" applyBorder="1" applyFont="1" applyNumberFormat="1">
      <alignment horizontal="right" readingOrder="0"/>
    </xf>
    <xf borderId="8" fillId="0" fontId="2" numFmtId="2" xfId="0" applyAlignment="1" applyBorder="1" applyFont="1" applyNumberFormat="1">
      <alignment horizontal="right" readingOrder="0"/>
    </xf>
    <xf borderId="11" fillId="0" fontId="2" numFmtId="2" xfId="0" applyAlignment="1" applyBorder="1" applyFont="1" applyNumberFormat="1">
      <alignment horizontal="right" readingOrder="0"/>
    </xf>
    <xf borderId="0" fillId="0" fontId="17" numFmtId="0" xfId="0" applyAlignment="1" applyFont="1">
      <alignment horizontal="right" readingOrder="0"/>
    </xf>
    <xf borderId="0" fillId="0" fontId="2" numFmtId="2" xfId="0" applyAlignment="1" applyFont="1" applyNumberFormat="1">
      <alignment horizontal="righ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Conc_MD_300K!$M$24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Conc_MD_300K!$K$25:$K$45</c:f>
            </c:strRef>
          </c:cat>
          <c:val>
            <c:numRef>
              <c:f>Conc_MD_300K!$M$25:$M$45</c:f>
              <c:numCache/>
            </c:numRef>
          </c:val>
        </c:ser>
        <c:ser>
          <c:idx val="1"/>
          <c:order val="1"/>
          <c:tx>
            <c:strRef>
              <c:f>Conc_MD_300K!$O$24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Conc_MD_300K!$K$25:$K$45</c:f>
            </c:strRef>
          </c:cat>
          <c:val>
            <c:numRef>
              <c:f>Conc_MD_300K!$O$25:$O$45</c:f>
              <c:numCache/>
            </c:numRef>
          </c:val>
        </c:ser>
        <c:axId val="1137276705"/>
        <c:axId val="1155980799"/>
      </c:barChart>
      <c:catAx>
        <c:axId val="1137276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980799"/>
      </c:catAx>
      <c:valAx>
        <c:axId val="1155980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of total number /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72767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Conc_MD_300K!$L$24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Conc_MD_300K!$K$25:$K$45</c:f>
            </c:strRef>
          </c:cat>
          <c:val>
            <c:numRef>
              <c:f>Conc_MD_300K!$L$25:$L$45</c:f>
              <c:numCache/>
            </c:numRef>
          </c:val>
        </c:ser>
        <c:ser>
          <c:idx val="1"/>
          <c:order val="1"/>
          <c:tx>
            <c:strRef>
              <c:f>Conc_MD_300K!$N$24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Conc_MD_300K!$K$25:$K$45</c:f>
            </c:strRef>
          </c:cat>
          <c:val>
            <c:numRef>
              <c:f>Conc_MD_300K!$N$25:$N$45</c:f>
              <c:numCache/>
            </c:numRef>
          </c:val>
        </c:ser>
        <c:axId val="1311702572"/>
        <c:axId val="711246018"/>
      </c:barChart>
      <c:catAx>
        <c:axId val="1311702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1246018"/>
      </c:catAx>
      <c:valAx>
        <c:axId val="711246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total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702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Conc_MD_400K!$M$24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Conc_MD_400K!$K$25:$K$45</c:f>
            </c:strRef>
          </c:cat>
          <c:val>
            <c:numRef>
              <c:f>Conc_MD_400K!$M$25:$M$45</c:f>
              <c:numCache/>
            </c:numRef>
          </c:val>
        </c:ser>
        <c:ser>
          <c:idx val="1"/>
          <c:order val="1"/>
          <c:tx>
            <c:strRef>
              <c:f>Conc_MD_400K!$O$24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Conc_MD_400K!$K$25:$K$45</c:f>
            </c:strRef>
          </c:cat>
          <c:val>
            <c:numRef>
              <c:f>Conc_MD_400K!$O$25:$O$45</c:f>
              <c:numCache/>
            </c:numRef>
          </c:val>
        </c:ser>
        <c:axId val="1430268442"/>
        <c:axId val="6602063"/>
      </c:barChart>
      <c:catAx>
        <c:axId val="1430268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2063"/>
      </c:catAx>
      <c:valAx>
        <c:axId val="6602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of total number /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2684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Conc_MD_400K!$L$24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Conc_MD_400K!$K$25:$K$45</c:f>
            </c:strRef>
          </c:cat>
          <c:val>
            <c:numRef>
              <c:f>Conc_MD_400K!$L$25:$L$45</c:f>
              <c:numCache/>
            </c:numRef>
          </c:val>
        </c:ser>
        <c:ser>
          <c:idx val="1"/>
          <c:order val="1"/>
          <c:tx>
            <c:strRef>
              <c:f>Conc_MD_400K!$N$24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Conc_MD_400K!$K$25:$K$45</c:f>
            </c:strRef>
          </c:cat>
          <c:val>
            <c:numRef>
              <c:f>Conc_MD_400K!$N$25:$N$45</c:f>
              <c:numCache/>
            </c:numRef>
          </c:val>
        </c:ser>
        <c:axId val="1840548397"/>
        <c:axId val="1090145601"/>
      </c:barChart>
      <c:catAx>
        <c:axId val="1840548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0145601"/>
      </c:catAx>
      <c:valAx>
        <c:axId val="1090145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total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548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Conc_MD_500K!$M$24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Conc_MD_500K!$K$25:$K$46</c:f>
            </c:strRef>
          </c:cat>
          <c:val>
            <c:numRef>
              <c:f>Conc_MD_500K!$M$25:$M$46</c:f>
              <c:numCache/>
            </c:numRef>
          </c:val>
        </c:ser>
        <c:ser>
          <c:idx val="1"/>
          <c:order val="1"/>
          <c:tx>
            <c:strRef>
              <c:f>Conc_MD_500K!$O$24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Conc_MD_500K!$K$25:$K$46</c:f>
            </c:strRef>
          </c:cat>
          <c:val>
            <c:numRef>
              <c:f>Conc_MD_500K!$O$25:$O$46</c:f>
              <c:numCache/>
            </c:numRef>
          </c:val>
        </c:ser>
        <c:axId val="1924681943"/>
        <c:axId val="1791918603"/>
      </c:barChart>
      <c:catAx>
        <c:axId val="1924681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1918603"/>
      </c:catAx>
      <c:valAx>
        <c:axId val="1791918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of total number /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6819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Total interactions average over all species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Conc_MD_500K!$L$24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Conc_MD_500K!$K$25:$K$46</c:f>
            </c:strRef>
          </c:cat>
          <c:val>
            <c:numRef>
              <c:f>Conc_MD_500K!$L$25:$L$46</c:f>
              <c:numCache/>
            </c:numRef>
          </c:val>
        </c:ser>
        <c:ser>
          <c:idx val="1"/>
          <c:order val="1"/>
          <c:tx>
            <c:strRef>
              <c:f>Conc_MD_500K!$N$24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Conc_MD_500K!$K$25:$K$46</c:f>
            </c:strRef>
          </c:cat>
          <c:val>
            <c:numRef>
              <c:f>Conc_MD_500K!$N$25:$N$46</c:f>
              <c:numCache/>
            </c:numRef>
          </c:val>
        </c:ser>
        <c:axId val="1691747984"/>
        <c:axId val="2081780255"/>
      </c:barChart>
      <c:catAx>
        <c:axId val="169174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residue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780255"/>
      </c:catAx>
      <c:valAx>
        <c:axId val="2081780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total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17479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47</xdr:row>
      <xdr:rowOff>0</xdr:rowOff>
    </xdr:from>
    <xdr:ext cx="5400675" cy="3371850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904875</xdr:colOff>
      <xdr:row>47</xdr:row>
      <xdr:rowOff>0</xdr:rowOff>
    </xdr:from>
    <xdr:ext cx="5448300" cy="337185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47</xdr:row>
      <xdr:rowOff>0</xdr:rowOff>
    </xdr:from>
    <xdr:ext cx="5400675" cy="3371850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904875</xdr:colOff>
      <xdr:row>47</xdr:row>
      <xdr:rowOff>0</xdr:rowOff>
    </xdr:from>
    <xdr:ext cx="5448300" cy="3371850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48</xdr:row>
      <xdr:rowOff>0</xdr:rowOff>
    </xdr:from>
    <xdr:ext cx="5400675" cy="3371850"/>
    <xdr:graphicFrame>
      <xdr:nvGraphicFramePr>
        <xdr:cNvPr id="5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904875</xdr:colOff>
      <xdr:row>48</xdr:row>
      <xdr:rowOff>0</xdr:rowOff>
    </xdr:from>
    <xdr:ext cx="5448300" cy="3371850"/>
    <xdr:graphicFrame>
      <xdr:nvGraphicFramePr>
        <xdr:cNvPr id="6" name="Chart 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33.0</v>
      </c>
    </row>
    <row r="3">
      <c r="A3" s="2" t="s">
        <v>3</v>
      </c>
      <c r="B3" s="3">
        <v>29.0</v>
      </c>
    </row>
    <row r="4">
      <c r="A4" s="2" t="s">
        <v>4</v>
      </c>
      <c r="B4" s="3">
        <v>28.0</v>
      </c>
    </row>
    <row r="5">
      <c r="A5" s="2" t="s">
        <v>5</v>
      </c>
      <c r="B5" s="3">
        <v>27.0</v>
      </c>
    </row>
    <row r="6">
      <c r="A6" s="2" t="s">
        <v>6</v>
      </c>
      <c r="B6" s="3">
        <v>27.0</v>
      </c>
    </row>
    <row r="7">
      <c r="A7" s="2" t="s">
        <v>7</v>
      </c>
      <c r="B7" s="3">
        <v>25.0</v>
      </c>
    </row>
    <row r="8">
      <c r="A8" s="2" t="s">
        <v>8</v>
      </c>
      <c r="B8" s="3">
        <v>25.0</v>
      </c>
    </row>
    <row r="9">
      <c r="A9" s="2" t="s">
        <v>9</v>
      </c>
      <c r="B9" s="3">
        <v>23.0</v>
      </c>
    </row>
    <row r="10">
      <c r="A10" s="2" t="s">
        <v>10</v>
      </c>
      <c r="B10" s="3">
        <v>20.0</v>
      </c>
    </row>
    <row r="11">
      <c r="A11" s="2" t="s">
        <v>11</v>
      </c>
      <c r="B11" s="3">
        <v>19.0</v>
      </c>
    </row>
    <row r="12">
      <c r="A12" s="2" t="s">
        <v>12</v>
      </c>
      <c r="B12" s="3">
        <v>15.0</v>
      </c>
    </row>
    <row r="13">
      <c r="A13" s="2" t="s">
        <v>13</v>
      </c>
      <c r="B13" s="3">
        <v>10.0</v>
      </c>
    </row>
    <row r="14">
      <c r="A14" s="2" t="s">
        <v>14</v>
      </c>
      <c r="B14" s="3">
        <v>10.0</v>
      </c>
    </row>
    <row r="15">
      <c r="A15" s="2" t="s">
        <v>15</v>
      </c>
      <c r="B15" s="3">
        <v>9.0</v>
      </c>
    </row>
    <row r="16">
      <c r="A16" s="2" t="s">
        <v>16</v>
      </c>
      <c r="B16" s="3">
        <v>9.0</v>
      </c>
    </row>
    <row r="17">
      <c r="A17" s="2" t="s">
        <v>17</v>
      </c>
      <c r="B17" s="3">
        <v>7.0</v>
      </c>
    </row>
    <row r="18">
      <c r="A18" s="2" t="s">
        <v>18</v>
      </c>
      <c r="B18" s="3">
        <v>6.0</v>
      </c>
    </row>
    <row r="19">
      <c r="A19" s="2" t="s">
        <v>19</v>
      </c>
      <c r="B19" s="3">
        <v>4.0</v>
      </c>
    </row>
    <row r="20">
      <c r="A20" s="2" t="s">
        <v>20</v>
      </c>
      <c r="B20" s="3">
        <v>3.0</v>
      </c>
    </row>
    <row r="21">
      <c r="A21" s="2" t="s">
        <v>21</v>
      </c>
      <c r="B21" s="3">
        <v>3.0</v>
      </c>
    </row>
    <row r="22">
      <c r="A22" s="2" t="s">
        <v>22</v>
      </c>
      <c r="B22" s="3">
        <v>1.0</v>
      </c>
    </row>
    <row r="23">
      <c r="B23" s="4"/>
    </row>
    <row r="24">
      <c r="B2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8.25"/>
    <col customWidth="1" min="3" max="3" width="13.38"/>
    <col customWidth="1" min="4" max="4" width="10.5"/>
    <col customWidth="1" min="5" max="5" width="13.0"/>
    <col customWidth="1" min="6" max="6" width="10.38"/>
    <col customWidth="1" min="7" max="7" width="11.38"/>
    <col customWidth="1" min="8" max="8" width="10.25"/>
    <col customWidth="1" min="9" max="9" width="16.63"/>
    <col customWidth="1" min="10" max="10" width="15.5"/>
    <col customWidth="1" min="11" max="11" width="12.0"/>
    <col customWidth="1" min="12" max="12" width="10.5"/>
    <col customWidth="1" min="13" max="13" width="8.25"/>
    <col customWidth="1" min="14" max="14" width="13.0"/>
    <col customWidth="1" min="15" max="15" width="14.0"/>
    <col customWidth="1" min="16" max="16" width="15.38"/>
    <col customWidth="1" min="17" max="17" width="16.88"/>
    <col customWidth="1" min="18" max="18" width="19.13"/>
    <col customWidth="1" min="19" max="19" width="24.0"/>
    <col customWidth="1" min="20" max="20" width="22.63"/>
    <col customWidth="1" min="21" max="21" width="19.25"/>
    <col customWidth="1" min="22" max="22" width="29.13"/>
    <col customWidth="1" min="25" max="25" width="14.5"/>
  </cols>
  <sheetData>
    <row r="1">
      <c r="A1" s="5" t="s">
        <v>23</v>
      </c>
      <c r="Q1" s="6" t="s">
        <v>24</v>
      </c>
      <c r="R1" s="7"/>
      <c r="S1" s="7"/>
      <c r="T1" s="8" t="s">
        <v>25</v>
      </c>
      <c r="U1" s="7"/>
      <c r="V1" s="7"/>
      <c r="W1" s="9"/>
      <c r="X1" s="10"/>
      <c r="Z1" s="11"/>
      <c r="AB1" s="12"/>
    </row>
    <row r="2">
      <c r="A2" s="2" t="s">
        <v>26</v>
      </c>
      <c r="Q2" s="7"/>
      <c r="R2" s="7"/>
      <c r="S2" s="7"/>
      <c r="T2" s="7"/>
      <c r="U2" s="7"/>
      <c r="V2" s="7"/>
    </row>
    <row r="3">
      <c r="A3" s="13" t="s">
        <v>27</v>
      </c>
      <c r="B3" s="13"/>
      <c r="C3" s="13"/>
      <c r="D3" s="14"/>
      <c r="E3" s="14"/>
      <c r="F3" s="15" t="s">
        <v>28</v>
      </c>
      <c r="G3" s="15"/>
      <c r="H3" s="15"/>
      <c r="I3" s="14"/>
      <c r="J3" s="14"/>
      <c r="K3" s="15" t="s">
        <v>29</v>
      </c>
      <c r="L3" s="15"/>
      <c r="M3" s="15"/>
      <c r="N3" s="14"/>
      <c r="O3" s="14"/>
      <c r="Q3" s="16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8" t="s">
        <v>32</v>
      </c>
      <c r="W3" s="19"/>
      <c r="X3" s="20"/>
      <c r="Y3" s="20"/>
    </row>
    <row r="4">
      <c r="A4" s="21" t="s">
        <v>33</v>
      </c>
      <c r="B4" s="22" t="s">
        <v>34</v>
      </c>
      <c r="C4" s="22" t="s">
        <v>35</v>
      </c>
      <c r="D4" s="22" t="s">
        <v>36</v>
      </c>
      <c r="E4" s="23" t="s">
        <v>37</v>
      </c>
      <c r="F4" s="21" t="s">
        <v>33</v>
      </c>
      <c r="G4" s="22" t="s">
        <v>34</v>
      </c>
      <c r="H4" s="22" t="s">
        <v>35</v>
      </c>
      <c r="I4" s="22" t="s">
        <v>36</v>
      </c>
      <c r="J4" s="23" t="s">
        <v>37</v>
      </c>
      <c r="K4" s="21" t="s">
        <v>33</v>
      </c>
      <c r="L4" s="22" t="s">
        <v>34</v>
      </c>
      <c r="M4" s="22" t="s">
        <v>35</v>
      </c>
      <c r="N4" s="22" t="s">
        <v>36</v>
      </c>
      <c r="O4" s="23" t="s">
        <v>37</v>
      </c>
      <c r="Q4" s="24"/>
      <c r="R4" s="25" t="s">
        <v>38</v>
      </c>
      <c r="S4" s="26"/>
      <c r="T4" s="27" t="s">
        <v>39</v>
      </c>
      <c r="U4" s="27" t="s">
        <v>39</v>
      </c>
      <c r="V4" s="27" t="s">
        <v>40</v>
      </c>
      <c r="W4" s="28"/>
      <c r="X4" s="28"/>
      <c r="Y4" s="28"/>
      <c r="AA4" s="29"/>
      <c r="AB4" s="30"/>
      <c r="AC4" s="30"/>
    </row>
    <row r="5">
      <c r="A5" s="31">
        <v>-14.174</v>
      </c>
      <c r="B5" s="32">
        <v>13.575</v>
      </c>
      <c r="C5" s="32">
        <v>-22.124</v>
      </c>
      <c r="D5" s="32" t="s">
        <v>10</v>
      </c>
      <c r="E5" s="33">
        <v>-0.234</v>
      </c>
      <c r="F5" s="31">
        <v>5.723</v>
      </c>
      <c r="G5" s="32">
        <v>13.687</v>
      </c>
      <c r="H5" s="32">
        <v>4.173</v>
      </c>
      <c r="I5" s="32" t="s">
        <v>16</v>
      </c>
      <c r="J5" s="33">
        <v>-1.147</v>
      </c>
      <c r="K5" s="31">
        <v>-0.517</v>
      </c>
      <c r="L5" s="32">
        <v>-6.894</v>
      </c>
      <c r="M5" s="32">
        <v>15.51</v>
      </c>
      <c r="N5" s="32" t="s">
        <v>10</v>
      </c>
      <c r="O5" s="33">
        <v>-1.423</v>
      </c>
      <c r="Q5" s="24"/>
      <c r="R5" s="25" t="s">
        <v>40</v>
      </c>
      <c r="S5" s="26"/>
      <c r="T5" s="27" t="s">
        <v>41</v>
      </c>
      <c r="U5" s="27" t="s">
        <v>42</v>
      </c>
      <c r="V5" s="27" t="s">
        <v>43</v>
      </c>
      <c r="W5" s="28"/>
      <c r="X5" s="28"/>
      <c r="Y5" s="28"/>
      <c r="AA5" s="29"/>
      <c r="AE5" s="30"/>
    </row>
    <row r="6">
      <c r="A6" s="34">
        <v>16.831</v>
      </c>
      <c r="B6" s="35">
        <v>2.245</v>
      </c>
      <c r="C6" s="35">
        <v>21.372</v>
      </c>
      <c r="D6" s="35" t="s">
        <v>6</v>
      </c>
      <c r="E6" s="36">
        <v>-0.213</v>
      </c>
      <c r="F6" s="34">
        <v>-2.038</v>
      </c>
      <c r="G6" s="35">
        <v>-4.205</v>
      </c>
      <c r="H6" s="35">
        <v>12.258</v>
      </c>
      <c r="I6" s="35" t="s">
        <v>15</v>
      </c>
      <c r="J6" s="36">
        <v>-1.064</v>
      </c>
      <c r="K6" s="34">
        <v>-8.677</v>
      </c>
      <c r="L6" s="35">
        <v>6.44</v>
      </c>
      <c r="M6" s="35">
        <v>-3.092</v>
      </c>
      <c r="N6" s="35" t="s">
        <v>8</v>
      </c>
      <c r="O6" s="36">
        <v>-1.415</v>
      </c>
      <c r="Q6" s="24"/>
      <c r="R6" s="25" t="s">
        <v>44</v>
      </c>
      <c r="S6" s="26"/>
      <c r="T6" s="37"/>
      <c r="U6" s="27" t="s">
        <v>45</v>
      </c>
      <c r="V6" s="37"/>
      <c r="W6" s="28"/>
      <c r="X6" s="28"/>
      <c r="Y6" s="28"/>
      <c r="AA6" s="29"/>
      <c r="AB6" s="30"/>
      <c r="AC6" s="30"/>
    </row>
    <row r="7">
      <c r="A7" s="34">
        <v>16.632</v>
      </c>
      <c r="B7" s="35">
        <v>2.676</v>
      </c>
      <c r="C7" s="35">
        <v>21.313</v>
      </c>
      <c r="D7" s="35" t="s">
        <v>5</v>
      </c>
      <c r="E7" s="36">
        <v>-0.211</v>
      </c>
      <c r="F7" s="34">
        <v>1.827</v>
      </c>
      <c r="G7" s="35">
        <v>2.658</v>
      </c>
      <c r="H7" s="35">
        <v>-9.204</v>
      </c>
      <c r="I7" s="35" t="s">
        <v>4</v>
      </c>
      <c r="J7" s="36">
        <v>-1.019</v>
      </c>
      <c r="K7" s="34">
        <v>16.624</v>
      </c>
      <c r="L7" s="35">
        <v>-19.324</v>
      </c>
      <c r="M7" s="35">
        <v>-29.289</v>
      </c>
      <c r="N7" s="35" t="s">
        <v>11</v>
      </c>
      <c r="O7" s="36">
        <v>-1.401</v>
      </c>
      <c r="Q7" s="24"/>
      <c r="R7" s="24"/>
      <c r="S7" s="24"/>
      <c r="T7" s="38"/>
      <c r="U7" s="38"/>
      <c r="V7" s="38"/>
      <c r="W7" s="28"/>
      <c r="X7" s="28"/>
      <c r="Y7" s="28"/>
      <c r="AA7" s="29"/>
      <c r="AB7" s="30"/>
      <c r="AC7" s="30"/>
    </row>
    <row r="8">
      <c r="A8" s="34">
        <v>-11.523</v>
      </c>
      <c r="B8" s="35">
        <v>-7.879</v>
      </c>
      <c r="C8" s="35">
        <v>2.094</v>
      </c>
      <c r="D8" s="35" t="s">
        <v>9</v>
      </c>
      <c r="E8" s="36">
        <v>-0.207</v>
      </c>
      <c r="F8" s="34">
        <v>-13.377</v>
      </c>
      <c r="G8" s="35">
        <v>7.778</v>
      </c>
      <c r="H8" s="35">
        <v>0.282</v>
      </c>
      <c r="I8" s="35" t="s">
        <v>15</v>
      </c>
      <c r="J8" s="36">
        <v>-1.007</v>
      </c>
      <c r="K8" s="34">
        <v>-13.709</v>
      </c>
      <c r="L8" s="35">
        <v>18.927</v>
      </c>
      <c r="M8" s="35">
        <v>-21.583</v>
      </c>
      <c r="N8" s="35" t="s">
        <v>11</v>
      </c>
      <c r="O8" s="36">
        <v>-1.383</v>
      </c>
      <c r="T8" s="28"/>
      <c r="U8" s="28"/>
      <c r="V8" s="28"/>
      <c r="W8" s="28"/>
      <c r="X8" s="28"/>
      <c r="Y8" s="28"/>
      <c r="AA8" s="29"/>
      <c r="AB8" s="30"/>
      <c r="AC8" s="30"/>
    </row>
    <row r="9">
      <c r="A9" s="34">
        <v>-3.328</v>
      </c>
      <c r="B9" s="35">
        <v>-20.437</v>
      </c>
      <c r="C9" s="35">
        <v>-13.4</v>
      </c>
      <c r="D9" s="35" t="s">
        <v>4</v>
      </c>
      <c r="E9" s="36">
        <v>-0.197</v>
      </c>
      <c r="F9" s="34">
        <v>4.914</v>
      </c>
      <c r="G9" s="35">
        <v>11.888</v>
      </c>
      <c r="H9" s="35">
        <v>3.641</v>
      </c>
      <c r="I9" s="35" t="s">
        <v>4</v>
      </c>
      <c r="J9" s="36">
        <v>-0.996</v>
      </c>
      <c r="K9" s="34">
        <v>-1.644</v>
      </c>
      <c r="L9" s="35">
        <v>-19.051</v>
      </c>
      <c r="M9" s="35">
        <v>-21.024</v>
      </c>
      <c r="N9" s="35" t="s">
        <v>10</v>
      </c>
      <c r="O9" s="36">
        <v>-1.381</v>
      </c>
      <c r="T9" s="28"/>
      <c r="U9" s="28"/>
      <c r="V9" s="28"/>
      <c r="W9" s="28"/>
      <c r="X9" s="28"/>
      <c r="Y9" s="28"/>
      <c r="AA9" s="29"/>
      <c r="AB9" s="30"/>
      <c r="AC9" s="30"/>
    </row>
    <row r="10">
      <c r="A10" s="34">
        <v>-14.856</v>
      </c>
      <c r="B10" s="35">
        <v>-16.476</v>
      </c>
      <c r="C10" s="35">
        <v>-5.369</v>
      </c>
      <c r="D10" s="35" t="s">
        <v>10</v>
      </c>
      <c r="E10" s="36">
        <v>-0.195</v>
      </c>
      <c r="F10" s="34">
        <v>-3.232</v>
      </c>
      <c r="G10" s="35">
        <v>12.212</v>
      </c>
      <c r="H10" s="35">
        <v>-16.879</v>
      </c>
      <c r="I10" s="35" t="s">
        <v>7</v>
      </c>
      <c r="J10" s="36">
        <v>-0.993</v>
      </c>
      <c r="K10" s="34">
        <v>3.497</v>
      </c>
      <c r="L10" s="35">
        <v>27.704</v>
      </c>
      <c r="M10" s="35">
        <v>16.721</v>
      </c>
      <c r="N10" s="35" t="s">
        <v>10</v>
      </c>
      <c r="O10" s="36">
        <v>-1.353</v>
      </c>
      <c r="T10" s="28"/>
      <c r="U10" s="28"/>
      <c r="V10" s="28"/>
      <c r="W10" s="28"/>
      <c r="X10" s="28"/>
      <c r="Y10" s="28"/>
      <c r="AA10" s="29"/>
      <c r="AB10" s="30"/>
      <c r="AC10" s="30"/>
    </row>
    <row r="11">
      <c r="A11" s="34">
        <v>-12.534</v>
      </c>
      <c r="B11" s="35">
        <v>-7.989</v>
      </c>
      <c r="C11" s="35">
        <v>2.371</v>
      </c>
      <c r="D11" s="35" t="s">
        <v>11</v>
      </c>
      <c r="E11" s="36">
        <v>-0.191</v>
      </c>
      <c r="F11" s="34">
        <v>1.442</v>
      </c>
      <c r="G11" s="35">
        <v>2.386</v>
      </c>
      <c r="H11" s="35">
        <v>-8.707</v>
      </c>
      <c r="I11" s="35" t="s">
        <v>4</v>
      </c>
      <c r="J11" s="36">
        <v>-0.992</v>
      </c>
      <c r="K11" s="34">
        <v>21.988</v>
      </c>
      <c r="L11" s="35">
        <v>-15.54</v>
      </c>
      <c r="M11" s="35">
        <v>-11.902</v>
      </c>
      <c r="N11" s="35" t="s">
        <v>10</v>
      </c>
      <c r="O11" s="36">
        <v>-1.351</v>
      </c>
      <c r="T11" s="28"/>
      <c r="U11" s="28"/>
      <c r="V11" s="28"/>
      <c r="W11" s="28"/>
      <c r="X11" s="28"/>
      <c r="Y11" s="28"/>
      <c r="AA11" s="29"/>
      <c r="AB11" s="30"/>
      <c r="AC11" s="30"/>
    </row>
    <row r="12">
      <c r="A12" s="39">
        <v>-18.562</v>
      </c>
      <c r="B12" s="40">
        <v>18.793</v>
      </c>
      <c r="C12" s="40">
        <v>22.722</v>
      </c>
      <c r="D12" s="41" t="s">
        <v>11</v>
      </c>
      <c r="E12" s="42">
        <v>-0.191</v>
      </c>
      <c r="F12" s="34">
        <v>1.181</v>
      </c>
      <c r="G12" s="35">
        <v>3.023</v>
      </c>
      <c r="H12" s="35">
        <v>-8.644</v>
      </c>
      <c r="I12" s="35" t="s">
        <v>22</v>
      </c>
      <c r="J12" s="36">
        <v>-0.986</v>
      </c>
      <c r="K12" s="34">
        <v>-14.465</v>
      </c>
      <c r="L12" s="35">
        <v>-23.272</v>
      </c>
      <c r="M12" s="35">
        <v>-2.615</v>
      </c>
      <c r="N12" s="35" t="s">
        <v>10</v>
      </c>
      <c r="O12" s="36">
        <v>-1.339</v>
      </c>
      <c r="T12" s="28"/>
      <c r="U12" s="28"/>
      <c r="V12" s="28"/>
      <c r="W12" s="28"/>
      <c r="X12" s="28"/>
      <c r="Y12" s="28"/>
      <c r="AA12" s="29"/>
      <c r="AB12" s="30"/>
      <c r="AC12" s="30"/>
    </row>
    <row r="13">
      <c r="A13" s="39">
        <v>-12.437</v>
      </c>
      <c r="B13" s="40">
        <v>-7.571</v>
      </c>
      <c r="C13" s="40">
        <v>2.86</v>
      </c>
      <c r="D13" s="41" t="s">
        <v>7</v>
      </c>
      <c r="E13" s="42">
        <v>-0.19</v>
      </c>
      <c r="F13" s="34">
        <v>15.856</v>
      </c>
      <c r="G13" s="35">
        <v>-1.505</v>
      </c>
      <c r="H13" s="35">
        <v>3.509</v>
      </c>
      <c r="I13" s="35" t="s">
        <v>12</v>
      </c>
      <c r="J13" s="36">
        <v>-0.98</v>
      </c>
      <c r="K13" s="34">
        <v>-15.526</v>
      </c>
      <c r="L13" s="35">
        <v>14.655</v>
      </c>
      <c r="M13" s="35">
        <v>-20.6</v>
      </c>
      <c r="N13" s="35" t="s">
        <v>10</v>
      </c>
      <c r="O13" s="36">
        <v>-1.333</v>
      </c>
      <c r="T13" s="28"/>
      <c r="U13" s="28"/>
      <c r="V13" s="28"/>
      <c r="W13" s="28"/>
      <c r="X13" s="28"/>
      <c r="Y13" s="28"/>
      <c r="AA13" s="29"/>
      <c r="AB13" s="30"/>
      <c r="AC13" s="30"/>
    </row>
    <row r="14">
      <c r="A14" s="39">
        <v>20.023</v>
      </c>
      <c r="B14" s="40">
        <v>-18.895</v>
      </c>
      <c r="C14" s="40">
        <v>-15.649</v>
      </c>
      <c r="D14" s="41" t="s">
        <v>10</v>
      </c>
      <c r="E14" s="42">
        <v>-0.188</v>
      </c>
      <c r="F14" s="34">
        <v>1.041</v>
      </c>
      <c r="G14" s="35">
        <v>9.752</v>
      </c>
      <c r="H14" s="35">
        <v>-17.386</v>
      </c>
      <c r="I14" s="35" t="s">
        <v>15</v>
      </c>
      <c r="J14" s="36">
        <v>-0.977</v>
      </c>
      <c r="K14" s="34">
        <v>13.566</v>
      </c>
      <c r="L14" s="35">
        <v>-28.536</v>
      </c>
      <c r="M14" s="35">
        <v>-7.917</v>
      </c>
      <c r="N14" s="35" t="s">
        <v>10</v>
      </c>
      <c r="O14" s="36">
        <v>-1.32</v>
      </c>
      <c r="T14" s="28"/>
      <c r="U14" s="28"/>
      <c r="V14" s="28"/>
      <c r="W14" s="28"/>
      <c r="X14" s="28"/>
      <c r="Y14" s="28"/>
      <c r="AA14" s="29"/>
      <c r="AB14" s="30"/>
      <c r="AC14" s="30"/>
    </row>
    <row r="15">
      <c r="A15" s="43">
        <v>10.797</v>
      </c>
      <c r="B15" s="44">
        <v>-10.218</v>
      </c>
      <c r="C15" s="44">
        <v>10.389</v>
      </c>
      <c r="D15" s="45" t="s">
        <v>11</v>
      </c>
      <c r="E15" s="46">
        <v>-0.187</v>
      </c>
      <c r="F15" s="47">
        <v>9.193</v>
      </c>
      <c r="G15" s="25">
        <v>13.191</v>
      </c>
      <c r="H15" s="25">
        <v>7.158</v>
      </c>
      <c r="I15" s="25" t="s">
        <v>9</v>
      </c>
      <c r="J15" s="48">
        <v>-0.977</v>
      </c>
      <c r="K15" s="47">
        <v>-2.641</v>
      </c>
      <c r="L15" s="25">
        <v>-12.272</v>
      </c>
      <c r="M15" s="25">
        <v>16.681</v>
      </c>
      <c r="N15" s="25" t="s">
        <v>10</v>
      </c>
      <c r="O15" s="48">
        <v>-1.303</v>
      </c>
      <c r="P15" s="49"/>
      <c r="T15" s="28"/>
      <c r="U15" s="28"/>
      <c r="V15" s="28"/>
      <c r="W15" s="28"/>
      <c r="X15" s="28"/>
      <c r="Y15" s="28"/>
      <c r="AA15" s="29"/>
      <c r="AB15" s="30"/>
      <c r="AC15" s="30"/>
    </row>
    <row r="16">
      <c r="A16" s="43">
        <v>18.267</v>
      </c>
      <c r="B16" s="44">
        <v>-17.624</v>
      </c>
      <c r="C16" s="44">
        <v>-4.454</v>
      </c>
      <c r="D16" s="45" t="s">
        <v>18</v>
      </c>
      <c r="E16" s="46">
        <v>-0.185</v>
      </c>
      <c r="F16" s="47">
        <v>-5.278</v>
      </c>
      <c r="G16" s="25">
        <v>-6.791</v>
      </c>
      <c r="H16" s="25">
        <v>0.058</v>
      </c>
      <c r="I16" s="25" t="s">
        <v>16</v>
      </c>
      <c r="J16" s="48">
        <v>-0.975</v>
      </c>
      <c r="K16" s="47">
        <v>-20.563</v>
      </c>
      <c r="L16" s="25">
        <v>15.937</v>
      </c>
      <c r="M16" s="25">
        <v>24.736</v>
      </c>
      <c r="N16" s="25" t="s">
        <v>11</v>
      </c>
      <c r="O16" s="48">
        <v>-1.284</v>
      </c>
      <c r="P16" s="50"/>
      <c r="T16" s="28"/>
      <c r="U16" s="28"/>
      <c r="V16" s="28"/>
      <c r="W16" s="28"/>
      <c r="X16" s="28"/>
      <c r="Y16" s="28"/>
      <c r="AA16" s="29"/>
      <c r="AB16" s="30"/>
      <c r="AC16" s="30"/>
    </row>
    <row r="17">
      <c r="A17" s="47">
        <v>-17.942</v>
      </c>
      <c r="B17" s="25">
        <v>18.637</v>
      </c>
      <c r="C17" s="25">
        <v>23.146</v>
      </c>
      <c r="D17" s="25" t="s">
        <v>13</v>
      </c>
      <c r="E17" s="48">
        <v>-0.182</v>
      </c>
      <c r="F17" s="47">
        <v>-8.215</v>
      </c>
      <c r="G17" s="25">
        <v>-23.186</v>
      </c>
      <c r="H17" s="25">
        <v>-1.481</v>
      </c>
      <c r="I17" s="25" t="s">
        <v>11</v>
      </c>
      <c r="J17" s="48">
        <v>-0.974</v>
      </c>
      <c r="K17" s="51">
        <v>5.992</v>
      </c>
      <c r="L17" s="52">
        <v>16.259</v>
      </c>
      <c r="M17" s="52">
        <v>-14.371</v>
      </c>
      <c r="N17" s="52" t="s">
        <v>11</v>
      </c>
      <c r="O17" s="53">
        <v>-1.262</v>
      </c>
      <c r="P17" s="25"/>
      <c r="T17" s="28"/>
      <c r="U17" s="28"/>
      <c r="V17" s="28"/>
      <c r="W17" s="28"/>
      <c r="X17" s="28"/>
      <c r="Y17" s="28"/>
      <c r="AA17" s="29"/>
      <c r="AB17" s="30"/>
      <c r="AC17" s="30"/>
    </row>
    <row r="18">
      <c r="A18" s="47">
        <v>-3.066</v>
      </c>
      <c r="B18" s="25">
        <v>-20.965</v>
      </c>
      <c r="C18" s="25">
        <v>-12.832</v>
      </c>
      <c r="D18" s="25" t="s">
        <v>2</v>
      </c>
      <c r="E18" s="48">
        <v>-0.181</v>
      </c>
      <c r="F18" s="47">
        <v>2.52</v>
      </c>
      <c r="G18" s="25">
        <v>-12.035</v>
      </c>
      <c r="H18" s="25">
        <v>9.704</v>
      </c>
      <c r="I18" s="25" t="s">
        <v>10</v>
      </c>
      <c r="J18" s="48">
        <v>-0.974</v>
      </c>
      <c r="K18" s="54">
        <v>-18.998</v>
      </c>
      <c r="L18" s="55">
        <v>-8.187</v>
      </c>
      <c r="M18" s="55">
        <v>-1.284</v>
      </c>
      <c r="N18" s="55" t="s">
        <v>11</v>
      </c>
      <c r="O18" s="48">
        <v>-1.238</v>
      </c>
      <c r="P18" s="25"/>
      <c r="T18" s="28"/>
      <c r="U18" s="28"/>
      <c r="V18" s="28"/>
      <c r="W18" s="28"/>
      <c r="X18" s="28"/>
      <c r="Y18" s="28"/>
      <c r="AA18" s="29"/>
      <c r="AB18" s="30"/>
      <c r="AC18" s="30"/>
    </row>
    <row r="19">
      <c r="A19" s="47">
        <v>18.411</v>
      </c>
      <c r="B19" s="25">
        <v>3.806</v>
      </c>
      <c r="C19" s="25">
        <v>21.287</v>
      </c>
      <c r="D19" s="25" t="s">
        <v>12</v>
      </c>
      <c r="E19" s="48">
        <v>-0.18</v>
      </c>
      <c r="F19" s="47">
        <v>1.36</v>
      </c>
      <c r="G19" s="25">
        <v>-5.655</v>
      </c>
      <c r="H19" s="25">
        <v>1.736</v>
      </c>
      <c r="I19" s="25" t="s">
        <v>5</v>
      </c>
      <c r="J19" s="48">
        <v>-0.973</v>
      </c>
      <c r="K19" s="47">
        <v>1.858</v>
      </c>
      <c r="L19" s="25">
        <v>19.7</v>
      </c>
      <c r="M19" s="25">
        <v>9.527</v>
      </c>
      <c r="N19" s="25" t="s">
        <v>12</v>
      </c>
      <c r="O19" s="48">
        <v>-1.233</v>
      </c>
      <c r="P19" s="25"/>
      <c r="T19" s="28"/>
      <c r="U19" s="28"/>
      <c r="V19" s="28"/>
      <c r="W19" s="28"/>
      <c r="X19" s="28"/>
      <c r="Y19" s="28"/>
      <c r="AA19" s="29"/>
      <c r="AB19" s="30"/>
      <c r="AC19" s="30"/>
    </row>
    <row r="20">
      <c r="A20" s="47">
        <v>-15.009</v>
      </c>
      <c r="B20" s="25">
        <v>-16.287</v>
      </c>
      <c r="C20" s="25">
        <v>-6.346</v>
      </c>
      <c r="D20" s="25" t="s">
        <v>10</v>
      </c>
      <c r="E20" s="48">
        <v>-0.18</v>
      </c>
      <c r="F20" s="47">
        <v>8.133</v>
      </c>
      <c r="G20" s="25">
        <v>-3.771</v>
      </c>
      <c r="H20" s="25">
        <v>9.386</v>
      </c>
      <c r="I20" s="25" t="s">
        <v>11</v>
      </c>
      <c r="J20" s="48">
        <v>-0.969</v>
      </c>
      <c r="K20" s="47">
        <v>6.93</v>
      </c>
      <c r="L20" s="25">
        <v>29.751</v>
      </c>
      <c r="M20" s="25">
        <v>11.197</v>
      </c>
      <c r="N20" s="25" t="s">
        <v>10</v>
      </c>
      <c r="O20" s="48">
        <v>-1.228</v>
      </c>
      <c r="P20" s="25"/>
      <c r="T20" s="28"/>
      <c r="U20" s="28"/>
      <c r="V20" s="28"/>
      <c r="W20" s="28"/>
      <c r="X20" s="28"/>
      <c r="Y20" s="28"/>
      <c r="AA20" s="29"/>
      <c r="AB20" s="30"/>
      <c r="AC20" s="30"/>
    </row>
    <row r="21">
      <c r="A21" s="47">
        <v>-15.349</v>
      </c>
      <c r="B21" s="25">
        <v>-5.438</v>
      </c>
      <c r="C21" s="25">
        <v>0.62</v>
      </c>
      <c r="D21" s="25" t="s">
        <v>9</v>
      </c>
      <c r="E21" s="48">
        <v>-0.177</v>
      </c>
      <c r="F21" s="47">
        <v>-10.16</v>
      </c>
      <c r="G21" s="25">
        <v>7.382</v>
      </c>
      <c r="H21" s="25">
        <v>5.725</v>
      </c>
      <c r="I21" s="25" t="s">
        <v>15</v>
      </c>
      <c r="J21" s="48">
        <v>-0.969</v>
      </c>
      <c r="K21" s="47">
        <v>-8.614</v>
      </c>
      <c r="L21" s="25">
        <v>-24.836</v>
      </c>
      <c r="M21" s="25">
        <v>-4.589</v>
      </c>
      <c r="N21" s="25" t="s">
        <v>11</v>
      </c>
      <c r="O21" s="48">
        <v>-1.224</v>
      </c>
      <c r="P21" s="25"/>
      <c r="T21" s="28"/>
      <c r="U21" s="28"/>
      <c r="V21" s="28"/>
      <c r="W21" s="28"/>
      <c r="X21" s="28"/>
      <c r="Y21" s="28"/>
      <c r="AA21" s="29"/>
      <c r="AB21" s="30"/>
      <c r="AC21" s="30"/>
    </row>
    <row r="22">
      <c r="A22" s="47">
        <v>-0.893</v>
      </c>
      <c r="B22" s="25">
        <v>-11.303</v>
      </c>
      <c r="C22" s="25">
        <v>16.303</v>
      </c>
      <c r="D22" s="25" t="s">
        <v>10</v>
      </c>
      <c r="E22" s="48">
        <v>-0.177</v>
      </c>
      <c r="F22" s="47">
        <v>-15.426</v>
      </c>
      <c r="G22" s="25">
        <v>-1.661</v>
      </c>
      <c r="H22" s="25">
        <v>5.576</v>
      </c>
      <c r="I22" s="25" t="s">
        <v>15</v>
      </c>
      <c r="J22" s="48">
        <v>-0.952</v>
      </c>
      <c r="K22" s="47">
        <v>22.126</v>
      </c>
      <c r="L22" s="25">
        <v>9.248</v>
      </c>
      <c r="M22" s="25">
        <v>-4.061</v>
      </c>
      <c r="N22" s="25" t="s">
        <v>10</v>
      </c>
      <c r="O22" s="48">
        <v>-1.203</v>
      </c>
      <c r="P22" s="25"/>
      <c r="T22" s="28"/>
      <c r="U22" s="28"/>
      <c r="V22" s="28"/>
      <c r="W22" s="28"/>
      <c r="X22" s="28"/>
      <c r="Y22" s="28"/>
      <c r="AA22" s="29"/>
      <c r="AB22" s="30"/>
      <c r="AC22" s="30"/>
    </row>
    <row r="23">
      <c r="A23" s="47">
        <v>18.1</v>
      </c>
      <c r="B23" s="25">
        <v>-18.513</v>
      </c>
      <c r="C23" s="25">
        <v>-4.93</v>
      </c>
      <c r="D23" s="25" t="s">
        <v>9</v>
      </c>
      <c r="E23" s="48">
        <v>-0.177</v>
      </c>
      <c r="F23" s="47">
        <v>8.805</v>
      </c>
      <c r="G23" s="25">
        <v>13.219</v>
      </c>
      <c r="H23" s="25">
        <v>7.491</v>
      </c>
      <c r="I23" s="25" t="s">
        <v>10</v>
      </c>
      <c r="J23" s="48">
        <v>-0.95</v>
      </c>
      <c r="K23" s="47">
        <v>2.112</v>
      </c>
      <c r="L23" s="25">
        <v>19.665</v>
      </c>
      <c r="M23" s="25">
        <v>9.502</v>
      </c>
      <c r="N23" s="25" t="s">
        <v>7</v>
      </c>
      <c r="O23" s="48">
        <v>-1.203</v>
      </c>
      <c r="P23" s="25"/>
      <c r="T23" s="28"/>
      <c r="U23" s="28"/>
      <c r="V23" s="28"/>
      <c r="W23" s="28"/>
      <c r="X23" s="28"/>
      <c r="Y23" s="28"/>
      <c r="AA23" s="29"/>
      <c r="AB23" s="30"/>
      <c r="AC23" s="30"/>
    </row>
    <row r="24">
      <c r="A24" s="47">
        <v>0.754</v>
      </c>
      <c r="B24" s="25">
        <v>-7.325</v>
      </c>
      <c r="C24" s="25">
        <v>17.182</v>
      </c>
      <c r="D24" s="25" t="s">
        <v>10</v>
      </c>
      <c r="E24" s="48">
        <v>-0.175</v>
      </c>
      <c r="F24" s="47">
        <v>6.014</v>
      </c>
      <c r="G24" s="25">
        <v>3.179</v>
      </c>
      <c r="H24" s="25">
        <v>-16.627</v>
      </c>
      <c r="I24" s="25" t="s">
        <v>4</v>
      </c>
      <c r="J24" s="48">
        <v>-0.948</v>
      </c>
      <c r="K24" s="47">
        <v>-6.959</v>
      </c>
      <c r="L24" s="25">
        <v>24.639</v>
      </c>
      <c r="M24" s="25">
        <v>25.047</v>
      </c>
      <c r="N24" s="25" t="s">
        <v>11</v>
      </c>
      <c r="O24" s="48">
        <v>-1.196</v>
      </c>
      <c r="P24" s="25"/>
      <c r="T24" s="28"/>
      <c r="U24" s="28"/>
      <c r="V24" s="28"/>
      <c r="W24" s="28"/>
      <c r="X24" s="28"/>
      <c r="Y24" s="28"/>
      <c r="AA24" s="29"/>
      <c r="AB24" s="30"/>
      <c r="AC24" s="30"/>
    </row>
    <row r="25">
      <c r="A25" s="47">
        <v>-11.2</v>
      </c>
      <c r="B25" s="25">
        <v>26.592</v>
      </c>
      <c r="C25" s="25">
        <v>27.398</v>
      </c>
      <c r="D25" s="25" t="s">
        <v>10</v>
      </c>
      <c r="E25" s="48">
        <v>-0.175</v>
      </c>
      <c r="F25" s="47">
        <v>3.661</v>
      </c>
      <c r="G25" s="25">
        <v>27.724</v>
      </c>
      <c r="H25" s="25">
        <v>11.514</v>
      </c>
      <c r="I25" s="25" t="s">
        <v>8</v>
      </c>
      <c r="J25" s="48">
        <v>-0.943</v>
      </c>
      <c r="K25" s="47">
        <v>-13.252</v>
      </c>
      <c r="L25" s="25">
        <v>28.026</v>
      </c>
      <c r="M25" s="25">
        <v>25.797</v>
      </c>
      <c r="N25" s="25" t="s">
        <v>10</v>
      </c>
      <c r="O25" s="48">
        <v>-1.183</v>
      </c>
      <c r="P25" s="25"/>
      <c r="T25" s="28"/>
      <c r="U25" s="28"/>
      <c r="V25" s="28"/>
      <c r="W25" s="28"/>
      <c r="X25" s="28"/>
      <c r="Y25" s="28"/>
      <c r="AA25" s="29"/>
      <c r="AB25" s="30"/>
      <c r="AC25" s="30"/>
    </row>
    <row r="26">
      <c r="A26" s="47">
        <v>0.028</v>
      </c>
      <c r="B26" s="25">
        <v>19.365</v>
      </c>
      <c r="C26" s="25">
        <v>-21.155</v>
      </c>
      <c r="D26" s="25" t="s">
        <v>15</v>
      </c>
      <c r="E26" s="48">
        <v>-0.174</v>
      </c>
      <c r="F26" s="47">
        <v>2.793</v>
      </c>
      <c r="G26" s="25">
        <v>20.807</v>
      </c>
      <c r="H26" s="25">
        <v>10.183</v>
      </c>
      <c r="I26" s="25" t="s">
        <v>2</v>
      </c>
      <c r="J26" s="48">
        <v>-0.942</v>
      </c>
      <c r="K26" s="47">
        <v>-15.746</v>
      </c>
      <c r="L26" s="25">
        <v>-16.3</v>
      </c>
      <c r="M26" s="25">
        <v>-6.772</v>
      </c>
      <c r="N26" s="25" t="s">
        <v>10</v>
      </c>
      <c r="O26" s="48">
        <v>-1.104</v>
      </c>
      <c r="P26" s="25"/>
      <c r="T26" s="28"/>
      <c r="U26" s="28"/>
      <c r="V26" s="28"/>
      <c r="W26" s="28"/>
      <c r="X26" s="28"/>
      <c r="Y26" s="28"/>
      <c r="AA26" s="29"/>
      <c r="AB26" s="30"/>
      <c r="AC26" s="30"/>
    </row>
    <row r="27">
      <c r="A27" s="47">
        <v>17.913</v>
      </c>
      <c r="B27" s="25">
        <v>-18.275</v>
      </c>
      <c r="C27" s="25">
        <v>-5.542</v>
      </c>
      <c r="D27" s="25" t="s">
        <v>5</v>
      </c>
      <c r="E27" s="48">
        <v>-0.173</v>
      </c>
      <c r="F27" s="47">
        <v>5.537</v>
      </c>
      <c r="G27" s="25">
        <v>-27.833</v>
      </c>
      <c r="H27" s="25">
        <v>-15.14</v>
      </c>
      <c r="I27" s="25" t="s">
        <v>2</v>
      </c>
      <c r="J27" s="48">
        <v>-0.941</v>
      </c>
      <c r="K27" s="56">
        <v>-1.276</v>
      </c>
      <c r="L27" s="57">
        <v>-16.863</v>
      </c>
      <c r="M27" s="57">
        <v>11.932</v>
      </c>
      <c r="N27" s="57" t="s">
        <v>12</v>
      </c>
      <c r="O27" s="58">
        <v>-1.086</v>
      </c>
      <c r="P27" s="25"/>
      <c r="T27" s="28"/>
      <c r="U27" s="28"/>
      <c r="V27" s="28"/>
      <c r="W27" s="28"/>
      <c r="X27" s="28"/>
      <c r="Y27" s="28"/>
      <c r="AA27" s="29"/>
      <c r="AB27" s="30"/>
      <c r="AC27" s="30"/>
    </row>
    <row r="28">
      <c r="A28" s="47">
        <v>20.973</v>
      </c>
      <c r="B28" s="25">
        <v>-19.626</v>
      </c>
      <c r="C28" s="25">
        <v>-14.612</v>
      </c>
      <c r="D28" s="25" t="s">
        <v>5</v>
      </c>
      <c r="E28" s="48">
        <v>-0.172</v>
      </c>
      <c r="F28" s="47">
        <v>15.095</v>
      </c>
      <c r="G28" s="25">
        <v>-11.643</v>
      </c>
      <c r="H28" s="25">
        <v>-2.094</v>
      </c>
      <c r="I28" s="25" t="s">
        <v>18</v>
      </c>
      <c r="J28" s="48">
        <v>-0.939</v>
      </c>
      <c r="K28" s="56">
        <v>2.67</v>
      </c>
      <c r="L28" s="57">
        <v>29.145</v>
      </c>
      <c r="M28" s="57">
        <v>12.994</v>
      </c>
      <c r="N28" s="57" t="s">
        <v>8</v>
      </c>
      <c r="O28" s="58">
        <v>-1.08</v>
      </c>
      <c r="P28" s="25"/>
      <c r="T28" s="28"/>
      <c r="U28" s="28"/>
      <c r="V28" s="28"/>
      <c r="W28" s="28"/>
      <c r="X28" s="28"/>
      <c r="Y28" s="28"/>
      <c r="AA28" s="29"/>
      <c r="AB28" s="30"/>
      <c r="AC28" s="30"/>
    </row>
    <row r="29">
      <c r="A29" s="47">
        <v>-7.81</v>
      </c>
      <c r="B29" s="25">
        <v>24.283</v>
      </c>
      <c r="C29" s="25">
        <v>26.248</v>
      </c>
      <c r="D29" s="25" t="s">
        <v>11</v>
      </c>
      <c r="E29" s="48">
        <v>-0.172</v>
      </c>
      <c r="F29" s="47">
        <v>2.441</v>
      </c>
      <c r="G29" s="25">
        <v>23.636</v>
      </c>
      <c r="H29" s="25">
        <v>-16.185</v>
      </c>
      <c r="I29" s="25" t="s">
        <v>8</v>
      </c>
      <c r="J29" s="48">
        <v>-0.937</v>
      </c>
      <c r="K29" s="56">
        <v>-16.412</v>
      </c>
      <c r="L29" s="57">
        <v>3.203</v>
      </c>
      <c r="M29" s="57">
        <v>25.051</v>
      </c>
      <c r="N29" s="57" t="s">
        <v>11</v>
      </c>
      <c r="O29" s="58">
        <v>-1.065</v>
      </c>
      <c r="P29" s="25"/>
      <c r="T29" s="28"/>
      <c r="U29" s="28"/>
      <c r="V29" s="28"/>
      <c r="W29" s="28"/>
      <c r="X29" s="28"/>
      <c r="Y29" s="28"/>
      <c r="AA29" s="29"/>
      <c r="AB29" s="30"/>
      <c r="AC29" s="30"/>
    </row>
    <row r="30">
      <c r="A30" s="47">
        <v>20.53</v>
      </c>
      <c r="B30" s="25">
        <v>-13.995</v>
      </c>
      <c r="C30" s="25">
        <v>-2.357</v>
      </c>
      <c r="D30" s="25" t="s">
        <v>10</v>
      </c>
      <c r="E30" s="48">
        <v>-0.172</v>
      </c>
      <c r="F30" s="47">
        <v>-0.104</v>
      </c>
      <c r="G30" s="25">
        <v>13.55</v>
      </c>
      <c r="H30" s="25">
        <v>-13.76</v>
      </c>
      <c r="I30" s="25" t="s">
        <v>18</v>
      </c>
      <c r="J30" s="48">
        <v>-0.929</v>
      </c>
      <c r="K30" s="56">
        <v>-7.404</v>
      </c>
      <c r="L30" s="57">
        <v>17.154</v>
      </c>
      <c r="M30" s="57">
        <v>6.002</v>
      </c>
      <c r="N30" s="57" t="s">
        <v>4</v>
      </c>
      <c r="O30" s="58">
        <v>-1.045</v>
      </c>
      <c r="P30" s="25"/>
      <c r="T30" s="28"/>
      <c r="U30" s="28"/>
      <c r="V30" s="28"/>
      <c r="W30" s="28"/>
      <c r="X30" s="28"/>
      <c r="Y30" s="28"/>
      <c r="AA30" s="29"/>
      <c r="AB30" s="30"/>
      <c r="AC30" s="30"/>
    </row>
    <row r="31">
      <c r="A31" s="47">
        <v>18.628</v>
      </c>
      <c r="B31" s="25">
        <v>-17.698</v>
      </c>
      <c r="C31" s="25">
        <v>-4.079</v>
      </c>
      <c r="D31" s="25" t="s">
        <v>11</v>
      </c>
      <c r="E31" s="48">
        <v>-0.167</v>
      </c>
      <c r="F31" s="47">
        <v>-0.016</v>
      </c>
      <c r="G31" s="25">
        <v>13.865</v>
      </c>
      <c r="H31" s="25">
        <v>-13.551</v>
      </c>
      <c r="I31" s="25" t="s">
        <v>17</v>
      </c>
      <c r="J31" s="48">
        <v>-0.928</v>
      </c>
      <c r="K31" s="47">
        <v>-5.689</v>
      </c>
      <c r="L31" s="25">
        <v>1.607</v>
      </c>
      <c r="M31" s="25">
        <v>24.028</v>
      </c>
      <c r="N31" s="25" t="s">
        <v>11</v>
      </c>
      <c r="O31" s="48">
        <v>-1.024</v>
      </c>
      <c r="T31" s="28"/>
      <c r="U31" s="28"/>
      <c r="V31" s="28"/>
      <c r="W31" s="28"/>
      <c r="X31" s="28"/>
      <c r="Y31" s="28"/>
      <c r="AA31" s="29"/>
      <c r="AB31" s="30"/>
      <c r="AC31" s="30"/>
    </row>
    <row r="32">
      <c r="A32" s="47">
        <v>-14.85</v>
      </c>
      <c r="B32" s="25">
        <v>2.973</v>
      </c>
      <c r="C32" s="25">
        <v>25.675</v>
      </c>
      <c r="D32" s="25" t="s">
        <v>11</v>
      </c>
      <c r="E32" s="48">
        <v>-0.166</v>
      </c>
      <c r="F32" s="47">
        <v>1.083</v>
      </c>
      <c r="G32" s="25">
        <v>0.271</v>
      </c>
      <c r="H32" s="25">
        <v>15.517</v>
      </c>
      <c r="I32" s="25" t="s">
        <v>7</v>
      </c>
      <c r="J32" s="48">
        <v>-0.926</v>
      </c>
      <c r="K32" s="47">
        <v>9.087</v>
      </c>
      <c r="L32" s="25">
        <v>22.762</v>
      </c>
      <c r="M32" s="25">
        <v>8.541</v>
      </c>
      <c r="N32" s="25" t="s">
        <v>8</v>
      </c>
      <c r="O32" s="48">
        <v>-1.013</v>
      </c>
      <c r="T32" s="28"/>
      <c r="U32" s="28"/>
      <c r="V32" s="28"/>
      <c r="W32" s="28"/>
      <c r="X32" s="28"/>
      <c r="Y32" s="28"/>
      <c r="AA32" s="29"/>
      <c r="AB32" s="30"/>
      <c r="AC32" s="30"/>
    </row>
    <row r="33">
      <c r="A33" s="47">
        <v>6.817</v>
      </c>
      <c r="B33" s="25">
        <v>-2.548</v>
      </c>
      <c r="C33" s="25">
        <v>-16.826</v>
      </c>
      <c r="D33" s="25" t="s">
        <v>18</v>
      </c>
      <c r="E33" s="48">
        <v>-0.165</v>
      </c>
      <c r="F33" s="47">
        <v>2.276</v>
      </c>
      <c r="G33" s="25">
        <v>22.598</v>
      </c>
      <c r="H33" s="25">
        <v>-16.167</v>
      </c>
      <c r="I33" s="25" t="s">
        <v>5</v>
      </c>
      <c r="J33" s="48">
        <v>-0.923</v>
      </c>
      <c r="K33" s="47">
        <v>-11.615</v>
      </c>
      <c r="L33" s="25">
        <v>-6.629</v>
      </c>
      <c r="M33" s="25">
        <v>-10.846</v>
      </c>
      <c r="N33" s="25" t="s">
        <v>9</v>
      </c>
      <c r="O33" s="48">
        <v>-1.008</v>
      </c>
      <c r="T33" s="28"/>
      <c r="U33" s="28"/>
      <c r="V33" s="28"/>
      <c r="W33" s="28"/>
      <c r="X33" s="28"/>
      <c r="Y33" s="28"/>
      <c r="AA33" s="29"/>
      <c r="AB33" s="30"/>
      <c r="AC33" s="30"/>
    </row>
    <row r="34">
      <c r="A34" s="59"/>
      <c r="B34" s="60"/>
      <c r="C34" s="60"/>
      <c r="D34" s="60"/>
      <c r="E34" s="61"/>
      <c r="F34" s="59"/>
      <c r="G34" s="60"/>
      <c r="H34" s="60"/>
      <c r="I34" s="60"/>
      <c r="J34" s="61"/>
      <c r="K34" s="59"/>
      <c r="L34" s="60"/>
      <c r="M34" s="60"/>
      <c r="N34" s="60"/>
      <c r="O34" s="61"/>
      <c r="T34" s="28"/>
      <c r="U34" s="28"/>
      <c r="V34" s="28"/>
      <c r="W34" s="28"/>
      <c r="X34" s="28"/>
      <c r="Y34" s="28"/>
      <c r="AA34" s="29"/>
      <c r="AB34" s="30"/>
      <c r="AC34" s="30"/>
    </row>
    <row r="35">
      <c r="A35" s="13" t="s">
        <v>30</v>
      </c>
      <c r="B35" s="13"/>
      <c r="C35" s="13"/>
      <c r="D35" s="14"/>
      <c r="E35" s="14"/>
      <c r="F35" s="15" t="s">
        <v>31</v>
      </c>
      <c r="G35" s="15"/>
      <c r="H35" s="15"/>
      <c r="I35" s="14"/>
      <c r="J35" s="14"/>
      <c r="K35" s="15" t="s">
        <v>32</v>
      </c>
      <c r="L35" s="15"/>
      <c r="M35" s="15"/>
      <c r="N35" s="14"/>
      <c r="O35" s="14"/>
      <c r="T35" s="28"/>
      <c r="U35" s="28"/>
      <c r="V35" s="28"/>
      <c r="W35" s="28"/>
      <c r="X35" s="28"/>
      <c r="Y35" s="28"/>
      <c r="AA35" s="29"/>
      <c r="AB35" s="30"/>
      <c r="AC35" s="30"/>
    </row>
    <row r="36">
      <c r="A36" s="21" t="s">
        <v>33</v>
      </c>
      <c r="B36" s="22" t="s">
        <v>34</v>
      </c>
      <c r="C36" s="22" t="s">
        <v>35</v>
      </c>
      <c r="D36" s="22" t="s">
        <v>36</v>
      </c>
      <c r="E36" s="23" t="s">
        <v>37</v>
      </c>
      <c r="F36" s="21" t="s">
        <v>33</v>
      </c>
      <c r="G36" s="22" t="s">
        <v>34</v>
      </c>
      <c r="H36" s="22" t="s">
        <v>35</v>
      </c>
      <c r="I36" s="22" t="s">
        <v>36</v>
      </c>
      <c r="J36" s="23" t="s">
        <v>37</v>
      </c>
      <c r="K36" s="21" t="s">
        <v>33</v>
      </c>
      <c r="L36" s="22" t="s">
        <v>34</v>
      </c>
      <c r="M36" s="22" t="s">
        <v>35</v>
      </c>
      <c r="N36" s="22" t="s">
        <v>36</v>
      </c>
      <c r="O36" s="23" t="s">
        <v>37</v>
      </c>
      <c r="T36" s="28"/>
      <c r="U36" s="28"/>
      <c r="V36" s="28"/>
      <c r="W36" s="28"/>
      <c r="X36" s="28"/>
      <c r="Y36" s="28"/>
      <c r="AA36" s="29"/>
      <c r="AB36" s="30"/>
      <c r="AC36" s="30"/>
    </row>
    <row r="37">
      <c r="A37" s="31">
        <v>-10.109</v>
      </c>
      <c r="B37" s="32">
        <v>13.349</v>
      </c>
      <c r="C37" s="32">
        <v>2.4</v>
      </c>
      <c r="D37" s="32" t="s">
        <v>15</v>
      </c>
      <c r="E37" s="33">
        <v>-1.097</v>
      </c>
      <c r="F37" s="31">
        <v>8.812</v>
      </c>
      <c r="G37" s="32">
        <v>22.837</v>
      </c>
      <c r="H37" s="32">
        <v>8.457</v>
      </c>
      <c r="I37" s="32" t="s">
        <v>8</v>
      </c>
      <c r="J37" s="33">
        <v>-1.385</v>
      </c>
      <c r="K37" s="31">
        <v>-2.05</v>
      </c>
      <c r="L37" s="32">
        <v>-5.305</v>
      </c>
      <c r="M37" s="32">
        <v>12.117</v>
      </c>
      <c r="N37" s="32" t="s">
        <v>15</v>
      </c>
      <c r="O37" s="33">
        <v>-0.807</v>
      </c>
      <c r="T37" s="28"/>
      <c r="U37" s="28"/>
      <c r="V37" s="28"/>
      <c r="W37" s="28"/>
      <c r="X37" s="28"/>
      <c r="Y37" s="28"/>
      <c r="AA37" s="29"/>
      <c r="AB37" s="30"/>
      <c r="AC37" s="30"/>
    </row>
    <row r="38">
      <c r="A38" s="34">
        <v>-12.752</v>
      </c>
      <c r="B38" s="35">
        <v>-7.05</v>
      </c>
      <c r="C38" s="35">
        <v>-10.723</v>
      </c>
      <c r="D38" s="35" t="s">
        <v>9</v>
      </c>
      <c r="E38" s="36">
        <v>-1.085</v>
      </c>
      <c r="F38" s="34">
        <v>-0.715</v>
      </c>
      <c r="G38" s="35">
        <v>5.337</v>
      </c>
      <c r="H38" s="35">
        <v>14.636</v>
      </c>
      <c r="I38" s="35" t="s">
        <v>3</v>
      </c>
      <c r="J38" s="36">
        <v>-1.323</v>
      </c>
      <c r="K38" s="34">
        <v>-12.752</v>
      </c>
      <c r="L38" s="35">
        <v>-7.05</v>
      </c>
      <c r="M38" s="35">
        <v>-10.723</v>
      </c>
      <c r="N38" s="35" t="s">
        <v>9</v>
      </c>
      <c r="O38" s="36">
        <v>-0.799</v>
      </c>
      <c r="T38" s="28"/>
      <c r="U38" s="28"/>
      <c r="V38" s="28"/>
      <c r="W38" s="28"/>
      <c r="X38" s="28"/>
      <c r="Y38" s="28"/>
      <c r="AA38" s="29"/>
      <c r="AB38" s="30"/>
      <c r="AC38" s="30"/>
    </row>
    <row r="39">
      <c r="A39" s="34">
        <v>-6.503</v>
      </c>
      <c r="B39" s="35">
        <v>13.113</v>
      </c>
      <c r="C39" s="35">
        <v>2.34</v>
      </c>
      <c r="D39" s="35" t="s">
        <v>15</v>
      </c>
      <c r="E39" s="36">
        <v>-1.077</v>
      </c>
      <c r="F39" s="34">
        <v>-12.16</v>
      </c>
      <c r="G39" s="35">
        <v>-7.333</v>
      </c>
      <c r="H39" s="35">
        <v>-10.803</v>
      </c>
      <c r="I39" s="35" t="s">
        <v>21</v>
      </c>
      <c r="J39" s="36">
        <v>-1.32</v>
      </c>
      <c r="K39" s="34">
        <v>1.323</v>
      </c>
      <c r="L39" s="35">
        <v>-27.363</v>
      </c>
      <c r="M39" s="35">
        <v>-6.599</v>
      </c>
      <c r="N39" s="35" t="s">
        <v>12</v>
      </c>
      <c r="O39" s="36">
        <v>-0.782</v>
      </c>
      <c r="T39" s="28"/>
      <c r="U39" s="28"/>
      <c r="V39" s="28"/>
      <c r="W39" s="28"/>
      <c r="X39" s="28"/>
      <c r="Y39" s="28"/>
      <c r="AA39" s="29"/>
      <c r="AB39" s="30"/>
      <c r="AC39" s="30"/>
    </row>
    <row r="40">
      <c r="A40" s="34">
        <v>-5.333</v>
      </c>
      <c r="B40" s="35">
        <v>24.677</v>
      </c>
      <c r="C40" s="35">
        <v>-17.099</v>
      </c>
      <c r="D40" s="35" t="s">
        <v>15</v>
      </c>
      <c r="E40" s="36">
        <v>-1.07</v>
      </c>
      <c r="F40" s="34">
        <v>5.005</v>
      </c>
      <c r="G40" s="35">
        <v>11.905</v>
      </c>
      <c r="H40" s="35">
        <v>3.71</v>
      </c>
      <c r="I40" s="35" t="s">
        <v>4</v>
      </c>
      <c r="J40" s="36">
        <v>-1.315</v>
      </c>
      <c r="K40" s="34">
        <v>-2.876</v>
      </c>
      <c r="L40" s="35">
        <v>-9.712</v>
      </c>
      <c r="M40" s="35">
        <v>13.727</v>
      </c>
      <c r="N40" s="35" t="s">
        <v>15</v>
      </c>
      <c r="O40" s="36">
        <v>-0.754</v>
      </c>
      <c r="T40" s="28"/>
      <c r="U40" s="28"/>
      <c r="V40" s="28"/>
      <c r="W40" s="28"/>
      <c r="X40" s="28"/>
      <c r="Y40" s="28"/>
      <c r="AA40" s="29"/>
      <c r="AB40" s="30"/>
      <c r="AC40" s="30"/>
    </row>
    <row r="41">
      <c r="A41" s="34">
        <v>5.333</v>
      </c>
      <c r="B41" s="35">
        <v>-27.685</v>
      </c>
      <c r="C41" s="35">
        <v>-15.299</v>
      </c>
      <c r="D41" s="35" t="s">
        <v>2</v>
      </c>
      <c r="E41" s="36">
        <v>-1.065</v>
      </c>
      <c r="F41" s="34">
        <v>-11.744</v>
      </c>
      <c r="G41" s="35">
        <v>11.652</v>
      </c>
      <c r="H41" s="35">
        <v>1.25</v>
      </c>
      <c r="I41" s="35" t="s">
        <v>15</v>
      </c>
      <c r="J41" s="36">
        <v>-1.308</v>
      </c>
      <c r="K41" s="34">
        <v>-10.964</v>
      </c>
      <c r="L41" s="35">
        <v>13.683</v>
      </c>
      <c r="M41" s="35">
        <v>2.709</v>
      </c>
      <c r="N41" s="35" t="s">
        <v>15</v>
      </c>
      <c r="O41" s="36">
        <v>-0.73</v>
      </c>
      <c r="T41" s="28"/>
      <c r="U41" s="28"/>
      <c r="V41" s="28"/>
      <c r="W41" s="28"/>
      <c r="X41" s="28"/>
      <c r="Y41" s="28"/>
      <c r="AA41" s="29"/>
      <c r="AB41" s="30"/>
      <c r="AC41" s="30"/>
    </row>
    <row r="42">
      <c r="A42" s="34">
        <v>8.637</v>
      </c>
      <c r="B42" s="35">
        <v>11.106</v>
      </c>
      <c r="C42" s="35">
        <v>-16.115</v>
      </c>
      <c r="D42" s="35" t="s">
        <v>15</v>
      </c>
      <c r="E42" s="36">
        <v>-1.058</v>
      </c>
      <c r="F42" s="34">
        <v>-11.615</v>
      </c>
      <c r="G42" s="35">
        <v>-6.629</v>
      </c>
      <c r="H42" s="35">
        <v>-10.846</v>
      </c>
      <c r="I42" s="35" t="s">
        <v>9</v>
      </c>
      <c r="J42" s="36">
        <v>-1.304</v>
      </c>
      <c r="K42" s="34">
        <v>-2.831</v>
      </c>
      <c r="L42" s="35">
        <v>13.029</v>
      </c>
      <c r="M42" s="35">
        <v>-15.892</v>
      </c>
      <c r="N42" s="35" t="s">
        <v>9</v>
      </c>
      <c r="O42" s="36">
        <v>-0.72</v>
      </c>
      <c r="T42" s="28"/>
      <c r="U42" s="28"/>
      <c r="V42" s="28"/>
      <c r="W42" s="28"/>
      <c r="X42" s="28"/>
      <c r="Y42" s="28"/>
      <c r="AA42" s="29"/>
      <c r="AB42" s="30"/>
      <c r="AC42" s="30"/>
    </row>
    <row r="43">
      <c r="A43" s="34">
        <v>8.812</v>
      </c>
      <c r="B43" s="35">
        <v>22.837</v>
      </c>
      <c r="C43" s="35">
        <v>8.457</v>
      </c>
      <c r="D43" s="35" t="s">
        <v>8</v>
      </c>
      <c r="E43" s="36">
        <v>-1.047</v>
      </c>
      <c r="F43" s="34">
        <v>9.243</v>
      </c>
      <c r="G43" s="35">
        <v>21.037</v>
      </c>
      <c r="H43" s="35">
        <v>7.082</v>
      </c>
      <c r="I43" s="35" t="s">
        <v>16</v>
      </c>
      <c r="J43" s="36">
        <v>-1.282</v>
      </c>
      <c r="K43" s="34">
        <v>-12.16</v>
      </c>
      <c r="L43" s="35">
        <v>-7.333</v>
      </c>
      <c r="M43" s="35">
        <v>-10.803</v>
      </c>
      <c r="N43" s="35" t="s">
        <v>21</v>
      </c>
      <c r="O43" s="36">
        <v>-0.711</v>
      </c>
      <c r="T43" s="28"/>
      <c r="U43" s="28"/>
      <c r="V43" s="28"/>
      <c r="W43" s="28"/>
      <c r="X43" s="28"/>
      <c r="Y43" s="28"/>
      <c r="AA43" s="29"/>
      <c r="AB43" s="30"/>
      <c r="AC43" s="30"/>
    </row>
    <row r="44">
      <c r="A44" s="39">
        <v>-12.16</v>
      </c>
      <c r="B44" s="40">
        <v>-7.333</v>
      </c>
      <c r="C44" s="40">
        <v>-10.803</v>
      </c>
      <c r="D44" s="41" t="s">
        <v>21</v>
      </c>
      <c r="E44" s="42">
        <v>-1.032</v>
      </c>
      <c r="F44" s="34">
        <v>8.705</v>
      </c>
      <c r="G44" s="35">
        <v>-26.075</v>
      </c>
      <c r="H44" s="35">
        <v>-4.767</v>
      </c>
      <c r="I44" s="35" t="s">
        <v>10</v>
      </c>
      <c r="J44" s="36">
        <v>-1.275</v>
      </c>
      <c r="K44" s="34">
        <v>12.293</v>
      </c>
      <c r="L44" s="35">
        <v>5.212</v>
      </c>
      <c r="M44" s="35">
        <v>-0.457</v>
      </c>
      <c r="N44" s="35" t="s">
        <v>5</v>
      </c>
      <c r="O44" s="36">
        <v>-0.707</v>
      </c>
      <c r="T44" s="28"/>
      <c r="U44" s="28"/>
      <c r="V44" s="28"/>
      <c r="W44" s="28"/>
      <c r="X44" s="28"/>
      <c r="Y44" s="28"/>
      <c r="AA44" s="29"/>
      <c r="AB44" s="30"/>
      <c r="AC44" s="30"/>
    </row>
    <row r="45">
      <c r="A45" s="39">
        <v>3.256</v>
      </c>
      <c r="B45" s="40">
        <v>24.742</v>
      </c>
      <c r="C45" s="40">
        <v>-16.495</v>
      </c>
      <c r="D45" s="41" t="s">
        <v>8</v>
      </c>
      <c r="E45" s="42">
        <v>-1.029</v>
      </c>
      <c r="F45" s="34">
        <v>-10.109</v>
      </c>
      <c r="G45" s="35">
        <v>13.349</v>
      </c>
      <c r="H45" s="35">
        <v>2.4</v>
      </c>
      <c r="I45" s="35" t="s">
        <v>15</v>
      </c>
      <c r="J45" s="36">
        <v>-1.275</v>
      </c>
      <c r="K45" s="34">
        <v>8.812</v>
      </c>
      <c r="L45" s="35">
        <v>22.837</v>
      </c>
      <c r="M45" s="35">
        <v>8.457</v>
      </c>
      <c r="N45" s="35" t="s">
        <v>8</v>
      </c>
      <c r="O45" s="36">
        <v>-0.704</v>
      </c>
      <c r="T45" s="28"/>
      <c r="U45" s="28"/>
      <c r="V45" s="28"/>
      <c r="W45" s="28"/>
      <c r="X45" s="28"/>
      <c r="Y45" s="28"/>
      <c r="AA45" s="29"/>
      <c r="AB45" s="30"/>
      <c r="AC45" s="30"/>
    </row>
    <row r="46">
      <c r="A46" s="39">
        <v>17.612</v>
      </c>
      <c r="B46" s="40">
        <v>6.575</v>
      </c>
      <c r="C46" s="40">
        <v>7.093</v>
      </c>
      <c r="D46" s="41" t="s">
        <v>8</v>
      </c>
      <c r="E46" s="42">
        <v>-1.01</v>
      </c>
      <c r="F46" s="34">
        <v>-22.764</v>
      </c>
      <c r="G46" s="35">
        <v>14.115</v>
      </c>
      <c r="H46" s="35">
        <v>10.892</v>
      </c>
      <c r="I46" s="35" t="s">
        <v>18</v>
      </c>
      <c r="J46" s="36">
        <v>-1.274</v>
      </c>
      <c r="K46" s="34">
        <v>-14.238</v>
      </c>
      <c r="L46" s="35">
        <v>4.07</v>
      </c>
      <c r="M46" s="35">
        <v>8.004</v>
      </c>
      <c r="N46" s="35" t="s">
        <v>15</v>
      </c>
      <c r="O46" s="36">
        <v>-0.702</v>
      </c>
      <c r="T46" s="28"/>
      <c r="U46" s="28"/>
      <c r="V46" s="28"/>
      <c r="W46" s="28"/>
      <c r="X46" s="28"/>
      <c r="Y46" s="28"/>
      <c r="AA46" s="29"/>
      <c r="AB46" s="30"/>
      <c r="AC46" s="30"/>
    </row>
    <row r="47">
      <c r="A47" s="43">
        <v>8.858</v>
      </c>
      <c r="B47" s="44">
        <v>21.953</v>
      </c>
      <c r="C47" s="44">
        <v>8.325</v>
      </c>
      <c r="D47" s="45" t="s">
        <v>2</v>
      </c>
      <c r="E47" s="46">
        <v>-1.01</v>
      </c>
      <c r="F47" s="47">
        <v>-2.038</v>
      </c>
      <c r="G47" s="25">
        <v>-4.205</v>
      </c>
      <c r="H47" s="25">
        <v>12.258</v>
      </c>
      <c r="I47" s="25" t="s">
        <v>15</v>
      </c>
      <c r="J47" s="48">
        <v>-1.266</v>
      </c>
      <c r="K47" s="47">
        <v>5.537</v>
      </c>
      <c r="L47" s="25">
        <v>-27.833</v>
      </c>
      <c r="M47" s="25">
        <v>-15.14</v>
      </c>
      <c r="N47" s="25" t="s">
        <v>2</v>
      </c>
      <c r="O47" s="48">
        <v>-0.699</v>
      </c>
      <c r="T47" s="28"/>
      <c r="U47" s="28"/>
      <c r="V47" s="28"/>
      <c r="W47" s="28"/>
      <c r="X47" s="28"/>
      <c r="Y47" s="28"/>
      <c r="AA47" s="29"/>
      <c r="AB47" s="30"/>
      <c r="AC47" s="30"/>
    </row>
    <row r="48">
      <c r="A48" s="43">
        <v>-23.845</v>
      </c>
      <c r="B48" s="44">
        <v>13.588</v>
      </c>
      <c r="C48" s="44">
        <v>10.756</v>
      </c>
      <c r="D48" s="45" t="s">
        <v>18</v>
      </c>
      <c r="E48" s="46">
        <v>-1.003</v>
      </c>
      <c r="F48" s="47">
        <v>11.095</v>
      </c>
      <c r="G48" s="25">
        <v>21.851</v>
      </c>
      <c r="H48" s="25">
        <v>6.042</v>
      </c>
      <c r="I48" s="25" t="s">
        <v>8</v>
      </c>
      <c r="J48" s="48">
        <v>-1.264</v>
      </c>
      <c r="K48" s="47">
        <v>18.347</v>
      </c>
      <c r="L48" s="25">
        <v>6.819</v>
      </c>
      <c r="M48" s="25">
        <v>11.06</v>
      </c>
      <c r="N48" s="25" t="s">
        <v>4</v>
      </c>
      <c r="O48" s="48">
        <v>-0.694</v>
      </c>
      <c r="T48" s="28"/>
      <c r="U48" s="28"/>
      <c r="V48" s="28"/>
      <c r="W48" s="28"/>
      <c r="X48" s="28"/>
      <c r="Y48" s="28"/>
      <c r="AA48" s="29"/>
      <c r="AB48" s="30"/>
      <c r="AC48" s="30"/>
    </row>
    <row r="49">
      <c r="A49" s="47">
        <v>-2.29</v>
      </c>
      <c r="B49" s="25">
        <v>12.746</v>
      </c>
      <c r="C49" s="25">
        <v>-15.459</v>
      </c>
      <c r="D49" s="25" t="s">
        <v>9</v>
      </c>
      <c r="E49" s="48">
        <v>-1.002</v>
      </c>
      <c r="F49" s="47">
        <v>-5.995</v>
      </c>
      <c r="G49" s="25">
        <v>-1.492</v>
      </c>
      <c r="H49" s="25">
        <v>-16.581</v>
      </c>
      <c r="I49" s="25" t="s">
        <v>7</v>
      </c>
      <c r="J49" s="48">
        <v>-1.256</v>
      </c>
      <c r="K49" s="51">
        <v>-5.715</v>
      </c>
      <c r="L49" s="52">
        <v>-1.268</v>
      </c>
      <c r="M49" s="52">
        <v>-16.7</v>
      </c>
      <c r="N49" s="62" t="s">
        <v>7</v>
      </c>
      <c r="O49" s="63">
        <v>-0.676</v>
      </c>
      <c r="T49" s="28"/>
      <c r="U49" s="28"/>
      <c r="V49" s="28"/>
      <c r="W49" s="28"/>
      <c r="X49" s="28"/>
      <c r="Y49" s="28"/>
      <c r="AA49" s="29"/>
      <c r="AB49" s="30"/>
      <c r="AC49" s="30"/>
    </row>
    <row r="50">
      <c r="A50" s="47">
        <v>-1.238</v>
      </c>
      <c r="B50" s="25">
        <v>9.953</v>
      </c>
      <c r="C50" s="25">
        <v>-4.426</v>
      </c>
      <c r="D50" s="25" t="s">
        <v>4</v>
      </c>
      <c r="E50" s="48">
        <v>-0.983</v>
      </c>
      <c r="F50" s="47">
        <v>-1.355</v>
      </c>
      <c r="G50" s="25">
        <v>8.026</v>
      </c>
      <c r="H50" s="25">
        <v>10.991</v>
      </c>
      <c r="I50" s="25" t="s">
        <v>3</v>
      </c>
      <c r="J50" s="48">
        <v>-1.255</v>
      </c>
      <c r="K50" s="47">
        <v>-3.976</v>
      </c>
      <c r="L50" s="25">
        <v>24.761</v>
      </c>
      <c r="M50" s="25">
        <v>-19.036</v>
      </c>
      <c r="N50" s="25" t="s">
        <v>5</v>
      </c>
      <c r="O50" s="48">
        <v>-0.667</v>
      </c>
      <c r="T50" s="28"/>
      <c r="U50" s="28"/>
      <c r="V50" s="28"/>
      <c r="W50" s="28"/>
      <c r="X50" s="28"/>
      <c r="Y50" s="28"/>
      <c r="AA50" s="29"/>
      <c r="AB50" s="30"/>
      <c r="AC50" s="30"/>
    </row>
    <row r="51">
      <c r="A51" s="47">
        <v>4.695</v>
      </c>
      <c r="B51" s="25">
        <v>11.515</v>
      </c>
      <c r="C51" s="25">
        <v>3.398</v>
      </c>
      <c r="D51" s="25" t="s">
        <v>4</v>
      </c>
      <c r="E51" s="48">
        <v>-0.968</v>
      </c>
      <c r="F51" s="47">
        <v>8.162</v>
      </c>
      <c r="G51" s="25">
        <v>22.909</v>
      </c>
      <c r="H51" s="25">
        <v>7.804</v>
      </c>
      <c r="I51" s="25" t="s">
        <v>10</v>
      </c>
      <c r="J51" s="48">
        <v>-1.246</v>
      </c>
      <c r="K51" s="47">
        <v>2.441</v>
      </c>
      <c r="L51" s="25">
        <v>23.636</v>
      </c>
      <c r="M51" s="25">
        <v>-16.185</v>
      </c>
      <c r="N51" s="25" t="s">
        <v>8</v>
      </c>
      <c r="O51" s="48">
        <v>-0.666</v>
      </c>
      <c r="T51" s="28"/>
      <c r="U51" s="28"/>
      <c r="V51" s="28"/>
      <c r="W51" s="28"/>
      <c r="X51" s="28"/>
      <c r="Y51" s="28"/>
      <c r="AA51" s="29"/>
      <c r="AB51" s="30"/>
      <c r="AC51" s="30"/>
    </row>
    <row r="52">
      <c r="A52" s="47">
        <v>-0.715</v>
      </c>
      <c r="B52" s="25">
        <v>5.337</v>
      </c>
      <c r="C52" s="25">
        <v>14.636</v>
      </c>
      <c r="D52" s="25" t="s">
        <v>3</v>
      </c>
      <c r="E52" s="48">
        <v>-0.968</v>
      </c>
      <c r="F52" s="47">
        <v>-21.378</v>
      </c>
      <c r="G52" s="25">
        <v>15.542</v>
      </c>
      <c r="H52" s="25">
        <v>11.99</v>
      </c>
      <c r="I52" s="25" t="s">
        <v>16</v>
      </c>
      <c r="J52" s="48">
        <v>-1.243</v>
      </c>
      <c r="K52" s="47">
        <v>11.215</v>
      </c>
      <c r="L52" s="25">
        <v>4.565</v>
      </c>
      <c r="M52" s="25">
        <v>0.005</v>
      </c>
      <c r="N52" s="25" t="s">
        <v>2</v>
      </c>
      <c r="O52" s="48">
        <v>-0.663</v>
      </c>
      <c r="T52" s="28"/>
      <c r="U52" s="28"/>
      <c r="V52" s="28"/>
      <c r="W52" s="28"/>
      <c r="X52" s="28"/>
      <c r="Y52" s="28"/>
      <c r="AA52" s="29"/>
      <c r="AB52" s="30"/>
      <c r="AC52" s="30"/>
    </row>
    <row r="53">
      <c r="A53" s="47">
        <v>17.274</v>
      </c>
      <c r="B53" s="25">
        <v>10.264</v>
      </c>
      <c r="C53" s="25">
        <v>-2.24</v>
      </c>
      <c r="D53" s="25" t="s">
        <v>10</v>
      </c>
      <c r="E53" s="48">
        <v>-0.965</v>
      </c>
      <c r="F53" s="47">
        <v>11.46</v>
      </c>
      <c r="G53" s="25">
        <v>4.355</v>
      </c>
      <c r="H53" s="25">
        <v>-1.183</v>
      </c>
      <c r="I53" s="25" t="s">
        <v>6</v>
      </c>
      <c r="J53" s="48">
        <v>-1.241</v>
      </c>
      <c r="K53" s="47">
        <v>-12.293</v>
      </c>
      <c r="L53" s="25">
        <v>21.788</v>
      </c>
      <c r="M53" s="25">
        <v>-16.958</v>
      </c>
      <c r="N53" s="25" t="s">
        <v>15</v>
      </c>
      <c r="O53" s="48">
        <v>-0.658</v>
      </c>
      <c r="T53" s="28"/>
      <c r="U53" s="28"/>
      <c r="V53" s="28"/>
      <c r="W53" s="28"/>
      <c r="X53" s="28"/>
      <c r="Y53" s="28"/>
      <c r="AA53" s="29"/>
      <c r="AB53" s="30"/>
      <c r="AC53" s="30"/>
    </row>
    <row r="54">
      <c r="A54" s="47">
        <v>-5.715</v>
      </c>
      <c r="B54" s="25">
        <v>-1.268</v>
      </c>
      <c r="C54" s="25">
        <v>-16.7</v>
      </c>
      <c r="D54" s="25" t="s">
        <v>7</v>
      </c>
      <c r="E54" s="48">
        <v>-0.963</v>
      </c>
      <c r="F54" s="47">
        <v>-2.29</v>
      </c>
      <c r="G54" s="25">
        <v>12.746</v>
      </c>
      <c r="H54" s="25">
        <v>-15.459</v>
      </c>
      <c r="I54" s="25" t="s">
        <v>9</v>
      </c>
      <c r="J54" s="48">
        <v>-1.235</v>
      </c>
      <c r="K54" s="47">
        <v>-5.539</v>
      </c>
      <c r="L54" s="25">
        <v>5.463</v>
      </c>
      <c r="M54" s="25">
        <v>20.679</v>
      </c>
      <c r="N54" s="25" t="s">
        <v>3</v>
      </c>
      <c r="O54" s="48">
        <v>-0.653</v>
      </c>
      <c r="T54" s="28"/>
      <c r="U54" s="28"/>
      <c r="V54" s="28"/>
      <c r="W54" s="28"/>
      <c r="X54" s="28"/>
      <c r="Y54" s="28"/>
      <c r="AA54" s="29"/>
      <c r="AB54" s="30"/>
      <c r="AC54" s="30"/>
    </row>
    <row r="55">
      <c r="A55" s="47">
        <v>-6.281</v>
      </c>
      <c r="B55" s="25">
        <v>8.978</v>
      </c>
      <c r="C55" s="25">
        <v>-26.301</v>
      </c>
      <c r="D55" s="25" t="s">
        <v>15</v>
      </c>
      <c r="E55" s="48">
        <v>-0.96</v>
      </c>
      <c r="F55" s="47">
        <v>11.313</v>
      </c>
      <c r="G55" s="25">
        <v>4.461</v>
      </c>
      <c r="H55" s="25">
        <v>-2.083</v>
      </c>
      <c r="I55" s="25" t="s">
        <v>14</v>
      </c>
      <c r="J55" s="48">
        <v>-1.235</v>
      </c>
      <c r="K55" s="47">
        <v>13.198</v>
      </c>
      <c r="L55" s="25">
        <v>10.594</v>
      </c>
      <c r="M55" s="25">
        <v>5.455</v>
      </c>
      <c r="N55" s="25" t="s">
        <v>7</v>
      </c>
      <c r="O55" s="48">
        <v>-0.649</v>
      </c>
      <c r="T55" s="28"/>
      <c r="U55" s="28"/>
      <c r="V55" s="28"/>
      <c r="W55" s="28"/>
      <c r="X55" s="28"/>
      <c r="Y55" s="28"/>
      <c r="AA55" s="29"/>
      <c r="AB55" s="30"/>
      <c r="AC55" s="30"/>
    </row>
    <row r="56">
      <c r="A56" s="47">
        <v>9.808</v>
      </c>
      <c r="B56" s="25">
        <v>21.141</v>
      </c>
      <c r="C56" s="25">
        <v>6.504</v>
      </c>
      <c r="D56" s="25" t="s">
        <v>8</v>
      </c>
      <c r="E56" s="48">
        <v>-0.956</v>
      </c>
      <c r="F56" s="47">
        <v>-10.476</v>
      </c>
      <c r="G56" s="25">
        <v>12.358</v>
      </c>
      <c r="H56" s="25">
        <v>-10.483</v>
      </c>
      <c r="I56" s="25" t="s">
        <v>2</v>
      </c>
      <c r="J56" s="48">
        <v>-1.232</v>
      </c>
      <c r="K56" s="47">
        <v>-0.688</v>
      </c>
      <c r="L56" s="25">
        <v>11.303</v>
      </c>
      <c r="M56" s="25">
        <v>-4.67</v>
      </c>
      <c r="N56" s="25" t="s">
        <v>5</v>
      </c>
      <c r="O56" s="48">
        <v>-0.648</v>
      </c>
      <c r="T56" s="28"/>
      <c r="U56" s="28"/>
      <c r="V56" s="28"/>
      <c r="W56" s="28"/>
      <c r="X56" s="28"/>
      <c r="Y56" s="28"/>
      <c r="AA56" s="29"/>
      <c r="AB56" s="30"/>
      <c r="AC56" s="30"/>
    </row>
    <row r="57">
      <c r="A57" s="47">
        <v>-9.385</v>
      </c>
      <c r="B57" s="25">
        <v>-10.309</v>
      </c>
      <c r="C57" s="25">
        <v>4.895</v>
      </c>
      <c r="D57" s="25" t="s">
        <v>18</v>
      </c>
      <c r="E57" s="48">
        <v>-0.944</v>
      </c>
      <c r="F57" s="47">
        <v>-5.408</v>
      </c>
      <c r="G57" s="25">
        <v>-1.822</v>
      </c>
      <c r="H57" s="25">
        <v>-17.452</v>
      </c>
      <c r="I57" s="25" t="s">
        <v>17</v>
      </c>
      <c r="J57" s="48">
        <v>-1.231</v>
      </c>
      <c r="K57" s="47">
        <v>-1.922</v>
      </c>
      <c r="L57" s="25">
        <v>11.936</v>
      </c>
      <c r="M57" s="25">
        <v>-15.709</v>
      </c>
      <c r="N57" s="25" t="s">
        <v>17</v>
      </c>
      <c r="O57" s="48">
        <v>-0.648</v>
      </c>
      <c r="T57" s="28"/>
      <c r="U57" s="28"/>
      <c r="V57" s="28"/>
      <c r="W57" s="28"/>
      <c r="X57" s="28"/>
      <c r="Y57" s="28"/>
      <c r="AA57" s="29"/>
      <c r="AB57" s="30"/>
      <c r="AC57" s="30"/>
    </row>
    <row r="58">
      <c r="A58" s="47">
        <v>9.243</v>
      </c>
      <c r="B58" s="25">
        <v>21.037</v>
      </c>
      <c r="C58" s="25">
        <v>7.082</v>
      </c>
      <c r="D58" s="25" t="s">
        <v>16</v>
      </c>
      <c r="E58" s="48">
        <v>-0.942</v>
      </c>
      <c r="F58" s="47">
        <v>8.637</v>
      </c>
      <c r="G58" s="25">
        <v>11.106</v>
      </c>
      <c r="H58" s="25">
        <v>-16.115</v>
      </c>
      <c r="I58" s="25" t="s">
        <v>15</v>
      </c>
      <c r="J58" s="48">
        <v>-1.231</v>
      </c>
      <c r="K58" s="47">
        <v>1.442</v>
      </c>
      <c r="L58" s="25">
        <v>2.386</v>
      </c>
      <c r="M58" s="25">
        <v>-8.707</v>
      </c>
      <c r="N58" s="25" t="s">
        <v>4</v>
      </c>
      <c r="O58" s="48">
        <v>-0.647</v>
      </c>
      <c r="T58" s="28"/>
      <c r="U58" s="28"/>
      <c r="V58" s="28"/>
      <c r="W58" s="28"/>
      <c r="X58" s="28"/>
      <c r="Y58" s="28"/>
      <c r="AA58" s="29"/>
      <c r="AB58" s="30"/>
      <c r="AC58" s="30"/>
    </row>
    <row r="59">
      <c r="A59" s="47">
        <v>-1.325</v>
      </c>
      <c r="B59" s="25">
        <v>10.634</v>
      </c>
      <c r="C59" s="25">
        <v>-3.816</v>
      </c>
      <c r="D59" s="25" t="s">
        <v>5</v>
      </c>
      <c r="E59" s="48">
        <v>-0.942</v>
      </c>
      <c r="F59" s="47">
        <v>-1.238</v>
      </c>
      <c r="G59" s="25">
        <v>9.953</v>
      </c>
      <c r="H59" s="25">
        <v>-4.426</v>
      </c>
      <c r="I59" s="25" t="s">
        <v>4</v>
      </c>
      <c r="J59" s="48">
        <v>-1.231</v>
      </c>
      <c r="K59" s="56">
        <v>7.129</v>
      </c>
      <c r="L59" s="57">
        <v>-14.716</v>
      </c>
      <c r="M59" s="57">
        <v>-11.736</v>
      </c>
      <c r="N59" s="57" t="s">
        <v>9</v>
      </c>
      <c r="O59" s="58">
        <v>-0.639</v>
      </c>
      <c r="T59" s="28"/>
      <c r="U59" s="28"/>
      <c r="V59" s="28"/>
      <c r="W59" s="28"/>
      <c r="X59" s="28"/>
      <c r="Y59" s="28"/>
      <c r="AA59" s="29"/>
      <c r="AB59" s="30"/>
      <c r="AC59" s="30"/>
    </row>
    <row r="60">
      <c r="A60" s="47">
        <v>-10.476</v>
      </c>
      <c r="B60" s="25">
        <v>12.358</v>
      </c>
      <c r="C60" s="25">
        <v>-10.483</v>
      </c>
      <c r="D60" s="25" t="s">
        <v>2</v>
      </c>
      <c r="E60" s="48">
        <v>-0.942</v>
      </c>
      <c r="F60" s="47">
        <v>4.159</v>
      </c>
      <c r="G60" s="25">
        <v>25.131</v>
      </c>
      <c r="H60" s="25">
        <v>-17.227</v>
      </c>
      <c r="I60" s="25" t="s">
        <v>8</v>
      </c>
      <c r="J60" s="48">
        <v>-1.229</v>
      </c>
      <c r="K60" s="56">
        <v>-9.515</v>
      </c>
      <c r="L60" s="57">
        <v>-10.192</v>
      </c>
      <c r="M60" s="57">
        <v>4.865</v>
      </c>
      <c r="N60" s="57" t="s">
        <v>18</v>
      </c>
      <c r="O60" s="58">
        <v>-0.633</v>
      </c>
      <c r="T60" s="28"/>
      <c r="U60" s="28"/>
      <c r="V60" s="28"/>
      <c r="W60" s="28"/>
      <c r="X60" s="28"/>
      <c r="Y60" s="28"/>
      <c r="AA60" s="29"/>
      <c r="AB60" s="30"/>
      <c r="AC60" s="30"/>
    </row>
    <row r="61">
      <c r="A61" s="47">
        <v>-14.298</v>
      </c>
      <c r="B61" s="25">
        <v>4.535</v>
      </c>
      <c r="C61" s="25">
        <v>-6.786</v>
      </c>
      <c r="D61" s="25" t="s">
        <v>8</v>
      </c>
      <c r="E61" s="48">
        <v>-0.941</v>
      </c>
      <c r="F61" s="47">
        <v>5.537</v>
      </c>
      <c r="G61" s="25">
        <v>-27.833</v>
      </c>
      <c r="H61" s="25">
        <v>-15.14</v>
      </c>
      <c r="I61" s="25" t="s">
        <v>2</v>
      </c>
      <c r="J61" s="48">
        <v>-1.229</v>
      </c>
      <c r="K61" s="56">
        <v>-11.472</v>
      </c>
      <c r="L61" s="57">
        <v>22.923</v>
      </c>
      <c r="M61" s="57">
        <v>-16.464</v>
      </c>
      <c r="N61" s="57" t="s">
        <v>3</v>
      </c>
      <c r="O61" s="58">
        <v>-0.631</v>
      </c>
      <c r="T61" s="28"/>
      <c r="U61" s="28"/>
      <c r="V61" s="28"/>
      <c r="W61" s="28"/>
      <c r="X61" s="28"/>
      <c r="Y61" s="28"/>
      <c r="AA61" s="29"/>
      <c r="AB61" s="30"/>
      <c r="AC61" s="30"/>
    </row>
    <row r="62">
      <c r="A62" s="47">
        <v>-3.976</v>
      </c>
      <c r="B62" s="25">
        <v>24.761</v>
      </c>
      <c r="C62" s="25">
        <v>-19.036</v>
      </c>
      <c r="D62" s="25" t="s">
        <v>5</v>
      </c>
      <c r="E62" s="48">
        <v>-0.938</v>
      </c>
      <c r="F62" s="47">
        <v>8.133</v>
      </c>
      <c r="G62" s="25">
        <v>-3.771</v>
      </c>
      <c r="H62" s="25">
        <v>9.386</v>
      </c>
      <c r="I62" s="25" t="s">
        <v>11</v>
      </c>
      <c r="J62" s="48">
        <v>-1.225</v>
      </c>
      <c r="K62" s="56">
        <v>-10.043</v>
      </c>
      <c r="L62" s="57">
        <v>6.076</v>
      </c>
      <c r="M62" s="57">
        <v>20.928</v>
      </c>
      <c r="N62" s="57" t="s">
        <v>6</v>
      </c>
      <c r="O62" s="58">
        <v>-0.625</v>
      </c>
      <c r="T62" s="28"/>
      <c r="U62" s="28"/>
      <c r="V62" s="28"/>
      <c r="W62" s="28"/>
      <c r="X62" s="28"/>
      <c r="Y62" s="28"/>
      <c r="AA62" s="29"/>
      <c r="AB62" s="30"/>
      <c r="AC62" s="30"/>
    </row>
    <row r="63">
      <c r="A63" s="47">
        <v>1.55</v>
      </c>
      <c r="B63" s="25">
        <v>-27.115</v>
      </c>
      <c r="C63" s="25">
        <v>-6.444</v>
      </c>
      <c r="D63" s="25" t="s">
        <v>12</v>
      </c>
      <c r="E63" s="48">
        <v>-0.931</v>
      </c>
      <c r="F63" s="47">
        <v>4.07</v>
      </c>
      <c r="G63" s="25">
        <v>4.377</v>
      </c>
      <c r="H63" s="25">
        <v>-6.677</v>
      </c>
      <c r="I63" s="25" t="s">
        <v>5</v>
      </c>
      <c r="J63" s="48">
        <v>-1.222</v>
      </c>
      <c r="K63" s="47">
        <v>-12.734</v>
      </c>
      <c r="L63" s="25">
        <v>18.783</v>
      </c>
      <c r="M63" s="25">
        <v>-16.594</v>
      </c>
      <c r="N63" s="25" t="s">
        <v>11</v>
      </c>
      <c r="O63" s="48">
        <v>-0.625</v>
      </c>
      <c r="T63" s="28"/>
      <c r="U63" s="28"/>
      <c r="V63" s="28"/>
      <c r="W63" s="28"/>
      <c r="X63" s="28"/>
      <c r="Y63" s="28"/>
      <c r="AA63" s="29"/>
      <c r="AB63" s="30"/>
      <c r="AC63" s="30"/>
    </row>
    <row r="64">
      <c r="A64" s="47">
        <v>18.347</v>
      </c>
      <c r="B64" s="25">
        <v>6.819</v>
      </c>
      <c r="C64" s="25">
        <v>11.06</v>
      </c>
      <c r="D64" s="25" t="s">
        <v>4</v>
      </c>
      <c r="E64" s="48">
        <v>-0.924</v>
      </c>
      <c r="F64" s="47">
        <v>2.134</v>
      </c>
      <c r="G64" s="25">
        <v>4.92</v>
      </c>
      <c r="H64" s="25">
        <v>-2.464</v>
      </c>
      <c r="I64" s="25" t="s">
        <v>20</v>
      </c>
      <c r="J64" s="48">
        <v>-1.214</v>
      </c>
      <c r="K64" s="47">
        <v>15.665</v>
      </c>
      <c r="L64" s="25">
        <v>3.385</v>
      </c>
      <c r="M64" s="25">
        <v>-10.45</v>
      </c>
      <c r="N64" s="25" t="s">
        <v>8</v>
      </c>
      <c r="O64" s="48">
        <v>-0.621</v>
      </c>
      <c r="T64" s="28"/>
      <c r="U64" s="28"/>
      <c r="V64" s="28"/>
      <c r="W64" s="28"/>
      <c r="X64" s="28"/>
      <c r="Y64" s="28"/>
      <c r="AA64" s="29"/>
      <c r="AB64" s="30"/>
      <c r="AC64" s="30"/>
    </row>
    <row r="65">
      <c r="A65" s="47">
        <v>-1.355</v>
      </c>
      <c r="B65" s="25">
        <v>8.026</v>
      </c>
      <c r="C65" s="25">
        <v>10.991</v>
      </c>
      <c r="D65" s="25" t="s">
        <v>3</v>
      </c>
      <c r="E65" s="48">
        <v>-0.923</v>
      </c>
      <c r="F65" s="47">
        <v>-12.343</v>
      </c>
      <c r="G65" s="25">
        <v>20.036</v>
      </c>
      <c r="H65" s="25">
        <v>-17.184</v>
      </c>
      <c r="I65" s="25" t="s">
        <v>11</v>
      </c>
      <c r="J65" s="48">
        <v>-1.211</v>
      </c>
      <c r="K65" s="47">
        <v>14.763</v>
      </c>
      <c r="L65" s="25">
        <v>-18.79</v>
      </c>
      <c r="M65" s="25">
        <v>-17.018</v>
      </c>
      <c r="N65" s="25" t="s">
        <v>17</v>
      </c>
      <c r="O65" s="48">
        <v>-0.621</v>
      </c>
      <c r="T65" s="28"/>
      <c r="U65" s="28"/>
      <c r="V65" s="28"/>
      <c r="W65" s="28"/>
      <c r="X65" s="28"/>
      <c r="Y65" s="28"/>
      <c r="AA65" s="29"/>
      <c r="AB65" s="30"/>
      <c r="AC65" s="30"/>
    </row>
    <row r="66">
      <c r="A66" s="59"/>
      <c r="B66" s="60"/>
      <c r="C66" s="60"/>
      <c r="D66" s="60"/>
      <c r="E66" s="61"/>
      <c r="F66" s="59"/>
      <c r="G66" s="60"/>
      <c r="H66" s="60"/>
      <c r="I66" s="60"/>
      <c r="J66" s="61"/>
      <c r="K66" s="59"/>
      <c r="L66" s="60"/>
      <c r="M66" s="60"/>
      <c r="N66" s="60"/>
      <c r="O66" s="61"/>
      <c r="T66" s="28"/>
      <c r="U66" s="28"/>
      <c r="V66" s="28"/>
      <c r="W66" s="28"/>
      <c r="X66" s="28"/>
      <c r="Y66" s="28"/>
      <c r="AA66" s="29"/>
      <c r="AB66" s="30"/>
      <c r="AC66" s="30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T67" s="28"/>
      <c r="U67" s="28"/>
      <c r="V67" s="28"/>
      <c r="W67" s="28"/>
      <c r="X67" s="28"/>
      <c r="Y67" s="28"/>
      <c r="AA67" s="29"/>
      <c r="AB67" s="30"/>
      <c r="AC67" s="30"/>
    </row>
    <row r="68">
      <c r="A68" s="64" t="s">
        <v>46</v>
      </c>
      <c r="B68" s="65"/>
      <c r="C68" s="66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T68" s="28"/>
      <c r="U68" s="28"/>
      <c r="V68" s="28"/>
      <c r="W68" s="28"/>
      <c r="X68" s="28"/>
      <c r="Y68" s="28"/>
      <c r="AA68" s="29"/>
      <c r="AB68" s="30"/>
      <c r="AC68" s="30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T69" s="28"/>
      <c r="U69" s="28"/>
      <c r="V69" s="28"/>
      <c r="W69" s="28"/>
      <c r="X69" s="28"/>
      <c r="Y69" s="28"/>
      <c r="AA69" s="29"/>
      <c r="AB69" s="30"/>
      <c r="AC69" s="30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T70" s="28"/>
      <c r="U70" s="28"/>
      <c r="V70" s="28"/>
      <c r="W70" s="28"/>
      <c r="X70" s="28"/>
      <c r="Y70" s="28"/>
      <c r="AA70" s="29"/>
      <c r="AB70" s="30"/>
      <c r="AC70" s="30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T71" s="28"/>
      <c r="U71" s="28"/>
      <c r="V71" s="28"/>
      <c r="W71" s="28"/>
      <c r="X71" s="28"/>
      <c r="Y71" s="28"/>
      <c r="AA71" s="29"/>
      <c r="AB71" s="30"/>
      <c r="AC71" s="30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T72" s="28"/>
      <c r="U72" s="28"/>
      <c r="V72" s="28"/>
      <c r="W72" s="28"/>
      <c r="X72" s="28"/>
      <c r="Y72" s="28"/>
      <c r="AA72" s="29"/>
      <c r="AB72" s="30"/>
      <c r="AC72" s="30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T73" s="28"/>
      <c r="U73" s="28"/>
      <c r="V73" s="28"/>
      <c r="W73" s="28"/>
      <c r="X73" s="28"/>
      <c r="Y73" s="28"/>
      <c r="AA73" s="29"/>
      <c r="AB73" s="30"/>
      <c r="AC73" s="30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T74" s="28"/>
      <c r="U74" s="28"/>
      <c r="V74" s="28"/>
      <c r="W74" s="28"/>
      <c r="X74" s="28"/>
      <c r="Y74" s="28"/>
      <c r="AA74" s="29"/>
      <c r="AB74" s="30"/>
      <c r="AC74" s="30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T75" s="28"/>
      <c r="U75" s="28"/>
      <c r="V75" s="28"/>
      <c r="W75" s="28"/>
      <c r="X75" s="28"/>
      <c r="Y75" s="28"/>
      <c r="AA75" s="29"/>
      <c r="AB75" s="30"/>
      <c r="AC75" s="30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T76" s="28"/>
      <c r="U76" s="28"/>
      <c r="V76" s="28"/>
      <c r="W76" s="28"/>
      <c r="X76" s="28"/>
      <c r="Y76" s="28"/>
      <c r="AA76" s="29"/>
      <c r="AB76" s="30"/>
      <c r="AC76" s="30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T77" s="28"/>
      <c r="U77" s="28"/>
      <c r="V77" s="28"/>
      <c r="W77" s="28"/>
      <c r="X77" s="28"/>
      <c r="Y77" s="28"/>
      <c r="AA77" s="29"/>
      <c r="AB77" s="30"/>
      <c r="AC77" s="30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T78" s="28"/>
      <c r="U78" s="28"/>
      <c r="V78" s="28"/>
      <c r="W78" s="28"/>
      <c r="X78" s="28"/>
      <c r="Y78" s="28"/>
      <c r="AA78" s="29"/>
      <c r="AB78" s="30"/>
      <c r="AC78" s="30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T79" s="28"/>
      <c r="U79" s="28"/>
      <c r="V79" s="28"/>
      <c r="W79" s="28"/>
      <c r="X79" s="28"/>
      <c r="Y79" s="28"/>
      <c r="AA79" s="29"/>
      <c r="AB79" s="30"/>
      <c r="AC79" s="30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T80" s="28"/>
      <c r="U80" s="28"/>
      <c r="V80" s="28"/>
      <c r="W80" s="28"/>
      <c r="X80" s="28"/>
      <c r="Y80" s="28"/>
      <c r="AA80" s="29"/>
      <c r="AB80" s="30"/>
      <c r="AC80" s="30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T81" s="28"/>
      <c r="U81" s="28"/>
      <c r="V81" s="28"/>
      <c r="W81" s="28"/>
      <c r="X81" s="28"/>
      <c r="Y81" s="28"/>
      <c r="AA81" s="29"/>
      <c r="AB81" s="30"/>
      <c r="AC81" s="30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T82" s="28"/>
      <c r="U82" s="28"/>
      <c r="V82" s="28"/>
      <c r="W82" s="28"/>
      <c r="X82" s="28"/>
      <c r="Y82" s="28"/>
      <c r="AA82" s="29"/>
      <c r="AB82" s="30"/>
      <c r="AC82" s="30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T83" s="28"/>
      <c r="U83" s="28"/>
      <c r="V83" s="28"/>
      <c r="W83" s="28"/>
      <c r="X83" s="28"/>
      <c r="Y83" s="28"/>
      <c r="AA83" s="29"/>
      <c r="AB83" s="30"/>
      <c r="AC83" s="30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T84" s="28"/>
      <c r="U84" s="28"/>
      <c r="V84" s="28"/>
      <c r="W84" s="28"/>
      <c r="X84" s="28"/>
      <c r="Y84" s="28"/>
      <c r="AA84" s="29"/>
      <c r="AB84" s="30"/>
      <c r="AC84" s="30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T85" s="28"/>
      <c r="U85" s="28"/>
      <c r="V85" s="28"/>
      <c r="W85" s="28"/>
      <c r="X85" s="28"/>
      <c r="Y85" s="28"/>
      <c r="AA85" s="29"/>
      <c r="AB85" s="30"/>
      <c r="AC85" s="30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T86" s="28"/>
      <c r="U86" s="28"/>
      <c r="V86" s="28"/>
      <c r="W86" s="28"/>
      <c r="X86" s="28"/>
      <c r="Y86" s="28"/>
      <c r="AA86" s="29"/>
      <c r="AB86" s="30"/>
      <c r="AC86" s="30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T87" s="28"/>
      <c r="U87" s="28"/>
      <c r="V87" s="28"/>
      <c r="W87" s="28"/>
      <c r="X87" s="28"/>
      <c r="Y87" s="28"/>
      <c r="AA87" s="29"/>
      <c r="AB87" s="30"/>
      <c r="AC87" s="30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T88" s="28"/>
      <c r="U88" s="28"/>
      <c r="V88" s="28"/>
      <c r="W88" s="28"/>
      <c r="X88" s="28"/>
      <c r="Y88" s="28"/>
      <c r="AA88" s="29"/>
      <c r="AB88" s="30"/>
      <c r="AC88" s="30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T89" s="28"/>
      <c r="U89" s="28"/>
      <c r="V89" s="28"/>
      <c r="W89" s="28"/>
      <c r="X89" s="28"/>
      <c r="Y89" s="28"/>
      <c r="AA89" s="29"/>
      <c r="AB89" s="30"/>
      <c r="AC89" s="30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T90" s="28"/>
      <c r="U90" s="28"/>
      <c r="V90" s="28"/>
      <c r="W90" s="28"/>
      <c r="X90" s="28"/>
      <c r="Y90" s="28"/>
      <c r="AA90" s="29"/>
      <c r="AB90" s="30"/>
      <c r="AC90" s="30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T91" s="28"/>
      <c r="U91" s="28"/>
      <c r="V91" s="28"/>
      <c r="W91" s="28"/>
      <c r="X91" s="28"/>
      <c r="Y91" s="28"/>
      <c r="AA91" s="29"/>
      <c r="AB91" s="30"/>
      <c r="AC91" s="30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T92" s="28"/>
      <c r="U92" s="28"/>
      <c r="V92" s="28"/>
      <c r="W92" s="28"/>
      <c r="X92" s="28"/>
      <c r="Y92" s="28"/>
      <c r="AA92" s="29"/>
      <c r="AB92" s="30"/>
      <c r="AC92" s="30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T93" s="28"/>
      <c r="U93" s="28"/>
      <c r="V93" s="28"/>
      <c r="W93" s="28"/>
      <c r="X93" s="28"/>
      <c r="Y93" s="28"/>
      <c r="AA93" s="29"/>
      <c r="AB93" s="30"/>
      <c r="AC93" s="30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T94" s="28"/>
      <c r="U94" s="28"/>
      <c r="V94" s="28"/>
      <c r="W94" s="28"/>
      <c r="X94" s="28"/>
      <c r="Y94" s="28"/>
      <c r="AA94" s="29"/>
      <c r="AB94" s="30"/>
      <c r="AC94" s="30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T95" s="28"/>
      <c r="U95" s="28"/>
      <c r="V95" s="28"/>
      <c r="W95" s="28"/>
      <c r="X95" s="28"/>
      <c r="Y95" s="28"/>
      <c r="AA95" s="29"/>
      <c r="AB95" s="30"/>
      <c r="AC95" s="30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T96" s="28"/>
      <c r="U96" s="28"/>
      <c r="V96" s="28"/>
      <c r="W96" s="28"/>
      <c r="X96" s="28"/>
      <c r="Y96" s="28"/>
      <c r="AA96" s="29"/>
      <c r="AB96" s="30"/>
      <c r="AC96" s="30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T97" s="28"/>
      <c r="U97" s="28"/>
      <c r="V97" s="28"/>
      <c r="W97" s="28"/>
      <c r="X97" s="28"/>
      <c r="Y97" s="28"/>
      <c r="AA97" s="29"/>
      <c r="AB97" s="30"/>
      <c r="AC97" s="30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T98" s="28"/>
      <c r="U98" s="28"/>
      <c r="V98" s="28"/>
      <c r="W98" s="28"/>
      <c r="X98" s="28"/>
      <c r="Y98" s="28"/>
      <c r="AA98" s="29"/>
      <c r="AB98" s="30"/>
      <c r="AC98" s="30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T99" s="28"/>
      <c r="U99" s="28"/>
      <c r="V99" s="28"/>
      <c r="W99" s="28"/>
      <c r="X99" s="28"/>
      <c r="Y99" s="28"/>
      <c r="AA99" s="29"/>
      <c r="AB99" s="30"/>
      <c r="AC99" s="30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T100" s="28"/>
      <c r="U100" s="28"/>
      <c r="V100" s="28"/>
      <c r="W100" s="28"/>
      <c r="X100" s="28"/>
      <c r="Y100" s="28"/>
      <c r="AA100" s="29"/>
      <c r="AB100" s="30"/>
      <c r="AC100" s="30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T101" s="28"/>
      <c r="U101" s="28"/>
      <c r="V101" s="28"/>
      <c r="W101" s="28"/>
      <c r="X101" s="28"/>
      <c r="Y101" s="28"/>
      <c r="AA101" s="29"/>
      <c r="AB101" s="30"/>
      <c r="AC101" s="30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T102" s="28"/>
      <c r="U102" s="28"/>
      <c r="V102" s="28"/>
      <c r="W102" s="28"/>
      <c r="X102" s="28"/>
      <c r="Y102" s="28"/>
      <c r="AA102" s="29"/>
      <c r="AB102" s="30"/>
      <c r="AC102" s="30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T103" s="28"/>
      <c r="U103" s="28"/>
      <c r="V103" s="28"/>
      <c r="W103" s="28"/>
      <c r="X103" s="28"/>
      <c r="Y103" s="28"/>
      <c r="AA103" s="29"/>
      <c r="AB103" s="30"/>
      <c r="AC103" s="30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T104" s="28"/>
      <c r="U104" s="28"/>
      <c r="V104" s="28"/>
      <c r="W104" s="28"/>
      <c r="X104" s="28"/>
      <c r="Y104" s="28"/>
      <c r="AA104" s="29"/>
      <c r="AB104" s="30"/>
      <c r="AC104" s="30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T105" s="28"/>
      <c r="U105" s="28"/>
      <c r="V105" s="28"/>
      <c r="W105" s="28"/>
      <c r="X105" s="28"/>
      <c r="Y105" s="28"/>
      <c r="AA105" s="29"/>
      <c r="AB105" s="30"/>
      <c r="AC105" s="30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T106" s="28"/>
      <c r="U106" s="28"/>
      <c r="V106" s="28"/>
      <c r="W106" s="28"/>
      <c r="X106" s="28"/>
      <c r="Y106" s="28"/>
      <c r="AA106" s="29"/>
      <c r="AB106" s="30"/>
      <c r="AC106" s="30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T107" s="28"/>
      <c r="U107" s="28"/>
      <c r="V107" s="28"/>
      <c r="W107" s="28"/>
      <c r="X107" s="28"/>
      <c r="Y107" s="28"/>
      <c r="AA107" s="29"/>
      <c r="AB107" s="30"/>
      <c r="AC107" s="30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T108" s="28"/>
      <c r="U108" s="28"/>
      <c r="V108" s="28"/>
      <c r="W108" s="28"/>
      <c r="X108" s="28"/>
      <c r="Y108" s="28"/>
      <c r="AA108" s="29"/>
      <c r="AB108" s="30"/>
      <c r="AC108" s="30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T109" s="28"/>
      <c r="U109" s="28"/>
      <c r="V109" s="28"/>
      <c r="W109" s="28"/>
      <c r="X109" s="28"/>
      <c r="Y109" s="28"/>
      <c r="AA109" s="29"/>
      <c r="AB109" s="30"/>
      <c r="AC109" s="30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T110" s="28"/>
      <c r="U110" s="28"/>
      <c r="V110" s="28"/>
      <c r="W110" s="28"/>
      <c r="X110" s="28"/>
      <c r="Y110" s="28"/>
      <c r="AA110" s="29"/>
      <c r="AB110" s="30"/>
      <c r="AC110" s="30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T111" s="28"/>
      <c r="U111" s="28"/>
      <c r="V111" s="28"/>
      <c r="W111" s="28"/>
      <c r="X111" s="28"/>
      <c r="Y111" s="28"/>
      <c r="AA111" s="29"/>
      <c r="AB111" s="30"/>
      <c r="AC111" s="30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T112" s="28"/>
      <c r="U112" s="28"/>
      <c r="V112" s="28"/>
      <c r="W112" s="28"/>
      <c r="X112" s="28"/>
      <c r="Y112" s="28"/>
      <c r="AA112" s="29"/>
      <c r="AB112" s="30"/>
      <c r="AC112" s="30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T113" s="28"/>
      <c r="U113" s="28"/>
      <c r="V113" s="28"/>
      <c r="W113" s="28"/>
      <c r="X113" s="28"/>
      <c r="Y113" s="28"/>
      <c r="AA113" s="29"/>
      <c r="AB113" s="30"/>
      <c r="AC113" s="30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T114" s="28"/>
      <c r="U114" s="28"/>
      <c r="V114" s="28"/>
      <c r="W114" s="28"/>
      <c r="X114" s="28"/>
      <c r="Y114" s="28"/>
      <c r="AA114" s="29"/>
      <c r="AB114" s="30"/>
      <c r="AC114" s="30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T115" s="28"/>
      <c r="U115" s="28"/>
      <c r="V115" s="28"/>
      <c r="W115" s="28"/>
      <c r="X115" s="28"/>
      <c r="Y115" s="28"/>
      <c r="AA115" s="29"/>
      <c r="AB115" s="30"/>
      <c r="AC115" s="30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T116" s="28"/>
      <c r="U116" s="28"/>
      <c r="V116" s="28"/>
      <c r="W116" s="28"/>
      <c r="X116" s="28"/>
      <c r="Y116" s="28"/>
      <c r="AA116" s="29"/>
      <c r="AB116" s="30"/>
      <c r="AC116" s="30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T117" s="28"/>
      <c r="U117" s="28"/>
      <c r="V117" s="28"/>
      <c r="W117" s="28"/>
      <c r="X117" s="28"/>
      <c r="Y117" s="28"/>
      <c r="AA117" s="29"/>
      <c r="AB117" s="30"/>
      <c r="AC117" s="30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T118" s="28"/>
      <c r="U118" s="28"/>
      <c r="V118" s="28"/>
      <c r="W118" s="28"/>
      <c r="X118" s="28"/>
      <c r="Y118" s="28"/>
      <c r="AA118" s="29"/>
      <c r="AB118" s="30"/>
      <c r="AC118" s="30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T119" s="28"/>
      <c r="U119" s="28"/>
      <c r="V119" s="28"/>
      <c r="W119" s="28"/>
      <c r="X119" s="28"/>
      <c r="Y119" s="28"/>
      <c r="AA119" s="29"/>
      <c r="AB119" s="30"/>
      <c r="AC119" s="30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T120" s="28"/>
      <c r="U120" s="28"/>
      <c r="V120" s="28"/>
      <c r="W120" s="28"/>
      <c r="X120" s="28"/>
      <c r="Y120" s="28"/>
      <c r="AA120" s="29"/>
      <c r="AB120" s="30"/>
      <c r="AC120" s="30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T121" s="28"/>
      <c r="U121" s="28"/>
      <c r="V121" s="28"/>
      <c r="W121" s="28"/>
      <c r="X121" s="28"/>
      <c r="Y121" s="28"/>
      <c r="AA121" s="29"/>
      <c r="AB121" s="30"/>
      <c r="AC121" s="30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T122" s="28"/>
      <c r="U122" s="28"/>
      <c r="V122" s="28"/>
      <c r="W122" s="28"/>
      <c r="X122" s="28"/>
      <c r="Y122" s="28"/>
      <c r="AA122" s="29"/>
      <c r="AB122" s="30"/>
      <c r="AC122" s="30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T123" s="28"/>
      <c r="U123" s="28"/>
      <c r="V123" s="28"/>
      <c r="W123" s="28"/>
      <c r="X123" s="28"/>
      <c r="Y123" s="28"/>
      <c r="AA123" s="29"/>
      <c r="AB123" s="30"/>
      <c r="AC123" s="30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T124" s="28"/>
      <c r="U124" s="28"/>
      <c r="V124" s="28"/>
      <c r="W124" s="28"/>
      <c r="X124" s="28"/>
      <c r="Y124" s="28"/>
      <c r="AA124" s="29"/>
      <c r="AB124" s="30"/>
      <c r="AC124" s="30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T125" s="28"/>
      <c r="U125" s="28"/>
      <c r="V125" s="28"/>
      <c r="W125" s="28"/>
      <c r="X125" s="28"/>
      <c r="Y125" s="28"/>
      <c r="AA125" s="29"/>
      <c r="AB125" s="30"/>
      <c r="AC125" s="30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T126" s="28"/>
      <c r="U126" s="28"/>
      <c r="V126" s="28"/>
      <c r="W126" s="28"/>
      <c r="X126" s="28"/>
      <c r="Y126" s="28"/>
      <c r="AA126" s="29"/>
      <c r="AB126" s="30"/>
      <c r="AC126" s="30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T127" s="28"/>
      <c r="U127" s="28"/>
      <c r="V127" s="28"/>
      <c r="W127" s="28"/>
      <c r="X127" s="28"/>
      <c r="Y127" s="28"/>
      <c r="AA127" s="29"/>
      <c r="AB127" s="30"/>
      <c r="AC127" s="30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T128" s="28"/>
      <c r="U128" s="28"/>
      <c r="V128" s="28"/>
      <c r="W128" s="28"/>
      <c r="X128" s="28"/>
      <c r="Y128" s="28"/>
      <c r="AA128" s="29"/>
      <c r="AB128" s="30"/>
      <c r="AC128" s="30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T129" s="28"/>
      <c r="U129" s="28"/>
      <c r="V129" s="28"/>
      <c r="W129" s="28"/>
      <c r="X129" s="28"/>
      <c r="Y129" s="28"/>
      <c r="AA129" s="29"/>
      <c r="AB129" s="30"/>
      <c r="AC129" s="30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T130" s="28"/>
      <c r="U130" s="28"/>
      <c r="V130" s="28"/>
      <c r="W130" s="28"/>
      <c r="X130" s="28"/>
      <c r="Y130" s="28"/>
      <c r="AA130" s="29"/>
      <c r="AB130" s="30"/>
      <c r="AC130" s="30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T131" s="28"/>
      <c r="U131" s="28"/>
      <c r="V131" s="28"/>
      <c r="W131" s="28"/>
      <c r="X131" s="28"/>
      <c r="Y131" s="28"/>
      <c r="AA131" s="29"/>
      <c r="AB131" s="30"/>
      <c r="AC131" s="30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T132" s="28"/>
      <c r="U132" s="28"/>
      <c r="V132" s="28"/>
      <c r="W132" s="28"/>
      <c r="X132" s="28"/>
      <c r="Y132" s="28"/>
      <c r="AA132" s="29"/>
      <c r="AB132" s="30"/>
      <c r="AC132" s="30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T133" s="28"/>
      <c r="U133" s="28"/>
      <c r="V133" s="28"/>
      <c r="W133" s="28"/>
      <c r="X133" s="28"/>
      <c r="Y133" s="28"/>
      <c r="AA133" s="29"/>
      <c r="AB133" s="30"/>
      <c r="AC133" s="30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T134" s="28"/>
      <c r="U134" s="28"/>
      <c r="V134" s="28"/>
      <c r="W134" s="28"/>
      <c r="X134" s="28"/>
      <c r="Y134" s="28"/>
      <c r="AA134" s="29"/>
      <c r="AB134" s="30"/>
      <c r="AC134" s="30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T135" s="28"/>
      <c r="U135" s="28"/>
      <c r="V135" s="28"/>
      <c r="W135" s="28"/>
      <c r="X135" s="28"/>
      <c r="Y135" s="28"/>
      <c r="AA135" s="29"/>
      <c r="AB135" s="30"/>
      <c r="AC135" s="30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T136" s="28"/>
      <c r="U136" s="28"/>
      <c r="V136" s="28"/>
      <c r="W136" s="28"/>
      <c r="X136" s="28"/>
      <c r="Y136" s="28"/>
      <c r="AA136" s="29"/>
      <c r="AB136" s="30"/>
      <c r="AC136" s="30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T137" s="28"/>
      <c r="U137" s="28"/>
      <c r="V137" s="28"/>
      <c r="W137" s="28"/>
      <c r="X137" s="28"/>
      <c r="Y137" s="28"/>
      <c r="AA137" s="29"/>
      <c r="AB137" s="30"/>
      <c r="AC137" s="30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T138" s="28"/>
      <c r="U138" s="28"/>
      <c r="V138" s="28"/>
      <c r="W138" s="28"/>
      <c r="X138" s="28"/>
      <c r="Y138" s="28"/>
      <c r="AA138" s="29"/>
      <c r="AB138" s="30"/>
      <c r="AC138" s="30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T139" s="28"/>
      <c r="U139" s="28"/>
      <c r="V139" s="28"/>
      <c r="W139" s="28"/>
      <c r="X139" s="28"/>
      <c r="Y139" s="28"/>
      <c r="AA139" s="29"/>
      <c r="AB139" s="30"/>
      <c r="AC139" s="30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T140" s="28"/>
      <c r="U140" s="28"/>
      <c r="V140" s="28"/>
      <c r="W140" s="28"/>
      <c r="X140" s="28"/>
      <c r="Y140" s="28"/>
      <c r="AA140" s="29"/>
      <c r="AB140" s="30"/>
      <c r="AC140" s="30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T141" s="28"/>
      <c r="U141" s="28"/>
      <c r="V141" s="28"/>
      <c r="W141" s="28"/>
      <c r="X141" s="28"/>
      <c r="Y141" s="28"/>
      <c r="AA141" s="29"/>
      <c r="AB141" s="30"/>
      <c r="AC141" s="30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T142" s="28"/>
      <c r="U142" s="28"/>
      <c r="V142" s="28"/>
      <c r="W142" s="28"/>
      <c r="X142" s="28"/>
      <c r="Y142" s="28"/>
      <c r="AA142" s="29"/>
      <c r="AB142" s="30"/>
      <c r="AC142" s="30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T143" s="28"/>
      <c r="U143" s="28"/>
      <c r="V143" s="28"/>
      <c r="W143" s="28"/>
      <c r="X143" s="28"/>
      <c r="Y143" s="28"/>
      <c r="AA143" s="29"/>
      <c r="AB143" s="30"/>
      <c r="AC143" s="30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T144" s="28"/>
      <c r="U144" s="28"/>
      <c r="V144" s="28"/>
      <c r="W144" s="28"/>
      <c r="X144" s="28"/>
      <c r="Y144" s="28"/>
      <c r="AA144" s="29"/>
      <c r="AB144" s="30"/>
      <c r="AC144" s="30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T145" s="28"/>
      <c r="U145" s="28"/>
      <c r="V145" s="28"/>
      <c r="W145" s="28"/>
      <c r="X145" s="28"/>
      <c r="Y145" s="28"/>
      <c r="AA145" s="29"/>
      <c r="AB145" s="30"/>
      <c r="AC145" s="30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T146" s="28"/>
      <c r="U146" s="28"/>
      <c r="V146" s="28"/>
      <c r="W146" s="28"/>
      <c r="X146" s="28"/>
      <c r="Y146" s="28"/>
      <c r="AA146" s="29"/>
      <c r="AB146" s="30"/>
      <c r="AC146" s="30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T147" s="28"/>
      <c r="U147" s="28"/>
      <c r="V147" s="28"/>
      <c r="W147" s="28"/>
      <c r="X147" s="28"/>
      <c r="Y147" s="28"/>
      <c r="AA147" s="29"/>
      <c r="AB147" s="30"/>
      <c r="AC147" s="30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T148" s="28"/>
      <c r="U148" s="28"/>
      <c r="V148" s="28"/>
      <c r="W148" s="28"/>
      <c r="X148" s="28"/>
      <c r="Y148" s="28"/>
      <c r="AA148" s="29"/>
      <c r="AB148" s="30"/>
      <c r="AC148" s="30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T149" s="28"/>
      <c r="U149" s="28"/>
      <c r="V149" s="28"/>
      <c r="W149" s="28"/>
      <c r="X149" s="28"/>
      <c r="Y149" s="28"/>
      <c r="AA149" s="29"/>
      <c r="AB149" s="30"/>
      <c r="AC149" s="30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T150" s="28"/>
      <c r="U150" s="28"/>
      <c r="V150" s="28"/>
      <c r="W150" s="28"/>
      <c r="X150" s="28"/>
      <c r="Y150" s="28"/>
      <c r="AA150" s="29"/>
      <c r="AB150" s="30"/>
      <c r="AC150" s="30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T151" s="28"/>
      <c r="U151" s="28"/>
      <c r="V151" s="28"/>
      <c r="W151" s="28"/>
      <c r="X151" s="28"/>
      <c r="Y151" s="28"/>
      <c r="AA151" s="29"/>
      <c r="AB151" s="30"/>
      <c r="AC151" s="30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T152" s="28"/>
      <c r="U152" s="28"/>
      <c r="V152" s="28"/>
      <c r="W152" s="28"/>
      <c r="X152" s="28"/>
      <c r="Y152" s="28"/>
      <c r="AA152" s="29"/>
      <c r="AB152" s="30"/>
      <c r="AC152" s="30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T153" s="28"/>
      <c r="U153" s="28"/>
      <c r="V153" s="28"/>
      <c r="W153" s="28"/>
      <c r="X153" s="28"/>
      <c r="Y153" s="28"/>
      <c r="AA153" s="29"/>
      <c r="AB153" s="30"/>
      <c r="AC153" s="30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T154" s="28"/>
      <c r="U154" s="28"/>
      <c r="V154" s="28"/>
      <c r="W154" s="28"/>
      <c r="X154" s="28"/>
      <c r="Y154" s="28"/>
      <c r="AA154" s="29"/>
      <c r="AB154" s="30"/>
      <c r="AC154" s="30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T155" s="28"/>
      <c r="U155" s="28"/>
      <c r="V155" s="28"/>
      <c r="W155" s="28"/>
      <c r="X155" s="28"/>
      <c r="Y155" s="28"/>
      <c r="AA155" s="29"/>
      <c r="AB155" s="30"/>
      <c r="AC155" s="30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T156" s="28"/>
      <c r="U156" s="28"/>
      <c r="V156" s="28"/>
      <c r="W156" s="28"/>
      <c r="X156" s="28"/>
      <c r="Y156" s="28"/>
      <c r="AA156" s="29"/>
      <c r="AB156" s="30"/>
      <c r="AC156" s="30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T157" s="28"/>
      <c r="U157" s="28"/>
      <c r="V157" s="28"/>
      <c r="W157" s="28"/>
      <c r="X157" s="28"/>
      <c r="Y157" s="28"/>
      <c r="AA157" s="29"/>
      <c r="AB157" s="30"/>
      <c r="AC157" s="30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T158" s="28"/>
      <c r="U158" s="28"/>
      <c r="V158" s="28"/>
      <c r="W158" s="28"/>
      <c r="X158" s="28"/>
      <c r="Y158" s="28"/>
      <c r="AA158" s="29"/>
      <c r="AB158" s="30"/>
      <c r="AC158" s="30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T159" s="28"/>
      <c r="U159" s="28"/>
      <c r="V159" s="28"/>
      <c r="W159" s="28"/>
      <c r="X159" s="28"/>
      <c r="Y159" s="28"/>
      <c r="AA159" s="29"/>
      <c r="AB159" s="30"/>
      <c r="AC159" s="30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T160" s="28"/>
      <c r="U160" s="28"/>
      <c r="V160" s="28"/>
      <c r="W160" s="28"/>
      <c r="X160" s="28"/>
      <c r="Y160" s="28"/>
      <c r="AA160" s="29"/>
      <c r="AB160" s="30"/>
      <c r="AC160" s="30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T161" s="28"/>
      <c r="U161" s="28"/>
      <c r="V161" s="28"/>
      <c r="W161" s="28"/>
      <c r="X161" s="28"/>
      <c r="Y161" s="28"/>
      <c r="AA161" s="29"/>
      <c r="AB161" s="30"/>
      <c r="AC161" s="30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T162" s="28"/>
      <c r="U162" s="28"/>
      <c r="V162" s="28"/>
      <c r="W162" s="28"/>
      <c r="X162" s="28"/>
      <c r="Y162" s="28"/>
      <c r="AA162" s="29"/>
      <c r="AB162" s="30"/>
      <c r="AC162" s="30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T163" s="28"/>
      <c r="U163" s="28"/>
      <c r="V163" s="28"/>
      <c r="W163" s="28"/>
      <c r="X163" s="28"/>
      <c r="Y163" s="28"/>
      <c r="AA163" s="29"/>
      <c r="AB163" s="30"/>
      <c r="AC163" s="30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T164" s="28"/>
      <c r="U164" s="28"/>
      <c r="V164" s="28"/>
      <c r="W164" s="28"/>
      <c r="X164" s="28"/>
      <c r="Y164" s="28"/>
      <c r="AA164" s="29"/>
      <c r="AB164" s="30"/>
      <c r="AC164" s="30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T165" s="28"/>
      <c r="U165" s="28"/>
      <c r="V165" s="28"/>
      <c r="W165" s="28"/>
      <c r="X165" s="28"/>
      <c r="Y165" s="28"/>
      <c r="AA165" s="29"/>
      <c r="AB165" s="30"/>
      <c r="AC165" s="30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T166" s="28"/>
      <c r="U166" s="28"/>
      <c r="V166" s="28"/>
      <c r="W166" s="28"/>
      <c r="X166" s="28"/>
      <c r="Y166" s="28"/>
      <c r="AA166" s="29"/>
      <c r="AB166" s="30"/>
      <c r="AC166" s="30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T167" s="28"/>
      <c r="U167" s="28"/>
      <c r="V167" s="28"/>
      <c r="W167" s="28"/>
      <c r="X167" s="28"/>
      <c r="Y167" s="28"/>
      <c r="AA167" s="29"/>
      <c r="AB167" s="30"/>
      <c r="AC167" s="30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T168" s="28"/>
      <c r="U168" s="28"/>
      <c r="V168" s="28"/>
      <c r="W168" s="28"/>
      <c r="X168" s="28"/>
      <c r="Y168" s="28"/>
      <c r="AA168" s="29"/>
      <c r="AB168" s="30"/>
      <c r="AC168" s="30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T169" s="28"/>
      <c r="U169" s="28"/>
      <c r="V169" s="28"/>
      <c r="W169" s="28"/>
      <c r="X169" s="28"/>
      <c r="Y169" s="28"/>
      <c r="AA169" s="29"/>
      <c r="AB169" s="30"/>
      <c r="AC169" s="30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T170" s="28"/>
      <c r="U170" s="28"/>
      <c r="V170" s="28"/>
      <c r="W170" s="28"/>
      <c r="X170" s="28"/>
      <c r="Y170" s="28"/>
      <c r="AA170" s="29"/>
      <c r="AB170" s="30"/>
      <c r="AC170" s="30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T171" s="28"/>
      <c r="U171" s="28"/>
      <c r="V171" s="28"/>
      <c r="W171" s="28"/>
      <c r="X171" s="28"/>
      <c r="Y171" s="28"/>
      <c r="AA171" s="29"/>
      <c r="AB171" s="30"/>
      <c r="AC171" s="30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T172" s="28"/>
      <c r="U172" s="28"/>
      <c r="V172" s="28"/>
      <c r="W172" s="28"/>
      <c r="X172" s="28"/>
      <c r="Y172" s="28"/>
      <c r="AA172" s="29"/>
      <c r="AB172" s="30"/>
      <c r="AC172" s="30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T173" s="28"/>
      <c r="U173" s="28"/>
      <c r="V173" s="28"/>
      <c r="W173" s="28"/>
      <c r="X173" s="28"/>
      <c r="Y173" s="28"/>
      <c r="AA173" s="29"/>
      <c r="AB173" s="30"/>
      <c r="AC173" s="30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T174" s="28"/>
      <c r="U174" s="28"/>
      <c r="V174" s="28"/>
      <c r="W174" s="28"/>
      <c r="X174" s="28"/>
      <c r="Y174" s="28"/>
      <c r="AA174" s="29"/>
      <c r="AB174" s="30"/>
      <c r="AC174" s="30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T175" s="28"/>
      <c r="U175" s="28"/>
      <c r="V175" s="28"/>
      <c r="W175" s="28"/>
      <c r="X175" s="28"/>
      <c r="Y175" s="28"/>
      <c r="AA175" s="29"/>
      <c r="AB175" s="30"/>
      <c r="AC175" s="30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T176" s="28"/>
      <c r="U176" s="28"/>
      <c r="V176" s="28"/>
      <c r="W176" s="28"/>
      <c r="X176" s="28"/>
      <c r="Y176" s="28"/>
      <c r="AA176" s="29"/>
      <c r="AB176" s="30"/>
      <c r="AC176" s="30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T177" s="28"/>
      <c r="U177" s="28"/>
      <c r="V177" s="28"/>
      <c r="W177" s="28"/>
      <c r="X177" s="28"/>
      <c r="Y177" s="28"/>
      <c r="AA177" s="29"/>
      <c r="AB177" s="30"/>
      <c r="AC177" s="30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T178" s="28"/>
      <c r="U178" s="28"/>
      <c r="V178" s="28"/>
      <c r="W178" s="28"/>
      <c r="X178" s="28"/>
      <c r="Y178" s="28"/>
      <c r="AA178" s="29"/>
      <c r="AB178" s="30"/>
      <c r="AC178" s="30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T179" s="28"/>
      <c r="U179" s="28"/>
      <c r="V179" s="28"/>
      <c r="W179" s="28"/>
      <c r="X179" s="28"/>
      <c r="Y179" s="28"/>
      <c r="AA179" s="29"/>
      <c r="AB179" s="30"/>
      <c r="AC179" s="30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T180" s="28"/>
      <c r="U180" s="28"/>
      <c r="V180" s="28"/>
      <c r="W180" s="28"/>
      <c r="X180" s="28"/>
      <c r="Y180" s="28"/>
      <c r="AA180" s="29"/>
      <c r="AB180" s="30"/>
      <c r="AC180" s="30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T181" s="28"/>
      <c r="U181" s="28"/>
      <c r="V181" s="28"/>
      <c r="W181" s="28"/>
      <c r="X181" s="28"/>
      <c r="Y181" s="28"/>
      <c r="AA181" s="29"/>
      <c r="AB181" s="30"/>
      <c r="AC181" s="30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T182" s="28"/>
      <c r="U182" s="28"/>
      <c r="V182" s="28"/>
      <c r="W182" s="28"/>
      <c r="X182" s="28"/>
      <c r="Y182" s="28"/>
      <c r="AA182" s="29"/>
      <c r="AB182" s="30"/>
      <c r="AC182" s="30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T183" s="28"/>
      <c r="U183" s="28"/>
      <c r="V183" s="28"/>
      <c r="W183" s="28"/>
      <c r="X183" s="28"/>
      <c r="Y183" s="28"/>
      <c r="AA183" s="29"/>
      <c r="AB183" s="30"/>
      <c r="AC183" s="30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T184" s="28"/>
      <c r="U184" s="28"/>
      <c r="V184" s="28"/>
      <c r="W184" s="28"/>
      <c r="X184" s="28"/>
      <c r="Y184" s="28"/>
      <c r="AA184" s="29"/>
      <c r="AB184" s="30"/>
      <c r="AC184" s="30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T185" s="28"/>
      <c r="U185" s="28"/>
      <c r="V185" s="28"/>
      <c r="W185" s="28"/>
      <c r="X185" s="28"/>
      <c r="Y185" s="28"/>
      <c r="AA185" s="29"/>
      <c r="AB185" s="30"/>
      <c r="AC185" s="30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T186" s="28"/>
      <c r="U186" s="28"/>
      <c r="V186" s="28"/>
      <c r="W186" s="28"/>
      <c r="X186" s="28"/>
      <c r="Y186" s="28"/>
      <c r="AA186" s="29"/>
      <c r="AB186" s="30"/>
      <c r="AC186" s="30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T187" s="28"/>
      <c r="U187" s="28"/>
      <c r="V187" s="28"/>
      <c r="W187" s="28"/>
      <c r="X187" s="28"/>
      <c r="Y187" s="28"/>
      <c r="AA187" s="29"/>
      <c r="AB187" s="30"/>
      <c r="AC187" s="30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T188" s="28"/>
      <c r="U188" s="28"/>
      <c r="V188" s="28"/>
      <c r="W188" s="28"/>
      <c r="X188" s="28"/>
      <c r="Y188" s="28"/>
      <c r="AA188" s="29"/>
      <c r="AB188" s="30"/>
      <c r="AC188" s="30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T189" s="28"/>
      <c r="U189" s="28"/>
      <c r="V189" s="28"/>
      <c r="W189" s="28"/>
      <c r="X189" s="28"/>
      <c r="Y189" s="28"/>
      <c r="AA189" s="29"/>
      <c r="AB189" s="30"/>
      <c r="AC189" s="30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T190" s="28"/>
      <c r="U190" s="28"/>
      <c r="V190" s="28"/>
      <c r="W190" s="28"/>
      <c r="X190" s="28"/>
      <c r="Y190" s="28"/>
      <c r="AA190" s="29"/>
      <c r="AB190" s="30"/>
      <c r="AC190" s="30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T191" s="28"/>
      <c r="U191" s="28"/>
      <c r="V191" s="28"/>
      <c r="W191" s="28"/>
      <c r="X191" s="28"/>
      <c r="Y191" s="28"/>
      <c r="AA191" s="29"/>
      <c r="AB191" s="30"/>
      <c r="AC191" s="30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T192" s="28"/>
      <c r="U192" s="28"/>
      <c r="V192" s="28"/>
      <c r="W192" s="28"/>
      <c r="X192" s="28"/>
      <c r="Y192" s="28"/>
      <c r="AA192" s="29"/>
      <c r="AB192" s="30"/>
      <c r="AC192" s="30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T193" s="28"/>
      <c r="U193" s="28"/>
      <c r="V193" s="28"/>
      <c r="W193" s="28"/>
      <c r="X193" s="28"/>
      <c r="Y193" s="28"/>
      <c r="AA193" s="29"/>
      <c r="AB193" s="30"/>
      <c r="AC193" s="30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T194" s="28"/>
      <c r="U194" s="28"/>
      <c r="V194" s="28"/>
      <c r="W194" s="28"/>
      <c r="X194" s="28"/>
      <c r="Y194" s="28"/>
      <c r="AA194" s="29"/>
      <c r="AB194" s="30"/>
      <c r="AC194" s="30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T195" s="28"/>
      <c r="U195" s="28"/>
      <c r="V195" s="28"/>
      <c r="W195" s="28"/>
      <c r="X195" s="28"/>
      <c r="Y195" s="28"/>
      <c r="AA195" s="29"/>
      <c r="AB195" s="30"/>
      <c r="AC195" s="30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T196" s="28"/>
      <c r="U196" s="28"/>
      <c r="V196" s="28"/>
      <c r="W196" s="28"/>
      <c r="X196" s="28"/>
      <c r="Y196" s="28"/>
      <c r="AA196" s="29"/>
      <c r="AB196" s="30"/>
      <c r="AC196" s="30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T197" s="28"/>
      <c r="U197" s="28"/>
      <c r="V197" s="28"/>
      <c r="W197" s="28"/>
      <c r="X197" s="28"/>
      <c r="Y197" s="28"/>
      <c r="AA197" s="29"/>
      <c r="AB197" s="30"/>
      <c r="AC197" s="30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T198" s="28"/>
      <c r="U198" s="28"/>
      <c r="V198" s="28"/>
      <c r="W198" s="28"/>
      <c r="X198" s="28"/>
      <c r="Y198" s="28"/>
      <c r="AA198" s="29"/>
      <c r="AB198" s="30"/>
      <c r="AC198" s="30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T199" s="28"/>
      <c r="U199" s="28"/>
      <c r="V199" s="28"/>
      <c r="W199" s="28"/>
      <c r="X199" s="28"/>
      <c r="Y199" s="28"/>
      <c r="AA199" s="29"/>
      <c r="AB199" s="30"/>
      <c r="AC199" s="30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T200" s="28"/>
      <c r="U200" s="28"/>
      <c r="V200" s="28"/>
      <c r="W200" s="28"/>
      <c r="X200" s="28"/>
      <c r="Y200" s="28"/>
      <c r="AA200" s="29"/>
      <c r="AB200" s="30"/>
      <c r="AC200" s="30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T201" s="28"/>
      <c r="U201" s="28"/>
      <c r="V201" s="28"/>
      <c r="W201" s="28"/>
      <c r="X201" s="28"/>
      <c r="Y201" s="28"/>
      <c r="AA201" s="29"/>
      <c r="AB201" s="30"/>
      <c r="AC201" s="30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T202" s="28"/>
      <c r="U202" s="28"/>
      <c r="V202" s="28"/>
      <c r="W202" s="28"/>
      <c r="X202" s="28"/>
      <c r="Y202" s="28"/>
      <c r="AA202" s="29"/>
      <c r="AB202" s="30"/>
      <c r="AC202" s="30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T203" s="28"/>
      <c r="U203" s="28"/>
      <c r="V203" s="28"/>
      <c r="W203" s="28"/>
      <c r="X203" s="28"/>
      <c r="Y203" s="28"/>
      <c r="AA203" s="29"/>
      <c r="AB203" s="30"/>
      <c r="AC203" s="30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T204" s="28"/>
      <c r="U204" s="28"/>
      <c r="V204" s="28"/>
      <c r="W204" s="28"/>
      <c r="X204" s="28"/>
      <c r="Y204" s="28"/>
      <c r="AA204" s="29"/>
      <c r="AB204" s="30"/>
      <c r="AC204" s="30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T205" s="28"/>
      <c r="U205" s="28"/>
      <c r="V205" s="28"/>
      <c r="W205" s="28"/>
      <c r="X205" s="28"/>
      <c r="Y205" s="28"/>
      <c r="AA205" s="29"/>
      <c r="AB205" s="30"/>
      <c r="AC205" s="30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T206" s="28"/>
      <c r="U206" s="28"/>
      <c r="V206" s="28"/>
      <c r="W206" s="28"/>
      <c r="X206" s="28"/>
      <c r="Y206" s="28"/>
      <c r="AA206" s="29"/>
      <c r="AB206" s="30"/>
      <c r="AC206" s="30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T207" s="28"/>
      <c r="U207" s="28"/>
      <c r="V207" s="28"/>
      <c r="W207" s="28"/>
      <c r="X207" s="28"/>
      <c r="Y207" s="28"/>
      <c r="AA207" s="29"/>
      <c r="AB207" s="30"/>
      <c r="AC207" s="30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T208" s="28"/>
      <c r="U208" s="28"/>
      <c r="V208" s="28"/>
      <c r="W208" s="28"/>
      <c r="X208" s="28"/>
      <c r="Y208" s="28"/>
      <c r="AA208" s="29"/>
      <c r="AB208" s="30"/>
      <c r="AC208" s="30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T209" s="28"/>
      <c r="U209" s="28"/>
      <c r="V209" s="28"/>
      <c r="W209" s="28"/>
      <c r="X209" s="28"/>
      <c r="Y209" s="28"/>
      <c r="AA209" s="29"/>
      <c r="AB209" s="30"/>
      <c r="AC209" s="30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T210" s="28"/>
      <c r="U210" s="28"/>
      <c r="V210" s="28"/>
      <c r="W210" s="28"/>
      <c r="X210" s="28"/>
      <c r="Y210" s="28"/>
      <c r="AA210" s="29"/>
      <c r="AB210" s="30"/>
      <c r="AC210" s="30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T211" s="28"/>
      <c r="U211" s="28"/>
      <c r="V211" s="28"/>
      <c r="W211" s="28"/>
      <c r="X211" s="28"/>
      <c r="Y211" s="28"/>
      <c r="AA211" s="29"/>
      <c r="AB211" s="30"/>
      <c r="AC211" s="30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T212" s="28"/>
      <c r="U212" s="28"/>
      <c r="V212" s="28"/>
      <c r="W212" s="28"/>
      <c r="X212" s="28"/>
      <c r="Y212" s="28"/>
      <c r="AA212" s="29"/>
      <c r="AB212" s="30"/>
      <c r="AC212" s="30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T213" s="28"/>
      <c r="U213" s="28"/>
      <c r="V213" s="28"/>
      <c r="W213" s="28"/>
      <c r="X213" s="28"/>
      <c r="Y213" s="28"/>
      <c r="AA213" s="29"/>
      <c r="AB213" s="30"/>
      <c r="AC213" s="30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T214" s="28"/>
      <c r="U214" s="28"/>
      <c r="V214" s="28"/>
      <c r="W214" s="28"/>
      <c r="X214" s="28"/>
      <c r="Y214" s="28"/>
      <c r="AA214" s="29"/>
      <c r="AB214" s="30"/>
      <c r="AC214" s="30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T215" s="28"/>
      <c r="U215" s="28"/>
      <c r="V215" s="28"/>
      <c r="W215" s="28"/>
      <c r="X215" s="28"/>
      <c r="Y215" s="28"/>
      <c r="AA215" s="29"/>
      <c r="AB215" s="30"/>
      <c r="AC215" s="30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T216" s="28"/>
      <c r="U216" s="28"/>
      <c r="V216" s="28"/>
      <c r="W216" s="28"/>
      <c r="X216" s="28"/>
      <c r="Y216" s="28"/>
      <c r="AA216" s="29"/>
      <c r="AB216" s="30"/>
      <c r="AC216" s="30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T217" s="28"/>
      <c r="U217" s="28"/>
      <c r="V217" s="28"/>
      <c r="W217" s="28"/>
      <c r="X217" s="28"/>
      <c r="Y217" s="28"/>
      <c r="AA217" s="29"/>
      <c r="AB217" s="30"/>
      <c r="AC217" s="30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T218" s="28"/>
      <c r="U218" s="28"/>
      <c r="V218" s="28"/>
      <c r="W218" s="28"/>
      <c r="X218" s="28"/>
      <c r="Y218" s="28"/>
      <c r="AA218" s="29"/>
      <c r="AB218" s="30"/>
      <c r="AC218" s="30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T219" s="28"/>
      <c r="U219" s="28"/>
      <c r="V219" s="28"/>
      <c r="W219" s="28"/>
      <c r="X219" s="28"/>
      <c r="Y219" s="28"/>
      <c r="AA219" s="29"/>
      <c r="AB219" s="30"/>
      <c r="AC219" s="30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T220" s="28"/>
      <c r="U220" s="28"/>
      <c r="V220" s="28"/>
      <c r="W220" s="28"/>
      <c r="X220" s="28"/>
      <c r="Y220" s="28"/>
      <c r="AA220" s="29"/>
      <c r="AB220" s="30"/>
      <c r="AC220" s="30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T221" s="28"/>
      <c r="U221" s="28"/>
      <c r="V221" s="28"/>
      <c r="W221" s="28"/>
      <c r="X221" s="28"/>
      <c r="Y221" s="28"/>
      <c r="AA221" s="29"/>
      <c r="AB221" s="30"/>
      <c r="AC221" s="30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T222" s="28"/>
      <c r="U222" s="28"/>
      <c r="V222" s="28"/>
      <c r="W222" s="28"/>
      <c r="X222" s="28"/>
      <c r="Y222" s="28"/>
      <c r="AA222" s="29"/>
      <c r="AB222" s="30"/>
      <c r="AC222" s="30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T223" s="28"/>
      <c r="U223" s="28"/>
      <c r="V223" s="28"/>
      <c r="W223" s="28"/>
      <c r="X223" s="28"/>
      <c r="Y223" s="28"/>
      <c r="AA223" s="29"/>
      <c r="AB223" s="30"/>
      <c r="AC223" s="30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T224" s="28"/>
      <c r="U224" s="28"/>
      <c r="V224" s="28"/>
      <c r="W224" s="28"/>
      <c r="X224" s="28"/>
      <c r="Y224" s="28"/>
      <c r="AA224" s="29"/>
      <c r="AB224" s="30"/>
      <c r="AC224" s="30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T225" s="28"/>
      <c r="U225" s="28"/>
      <c r="V225" s="28"/>
      <c r="W225" s="28"/>
      <c r="X225" s="28"/>
      <c r="Y225" s="28"/>
      <c r="AA225" s="29"/>
      <c r="AB225" s="30"/>
      <c r="AC225" s="30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T226" s="28"/>
      <c r="U226" s="28"/>
      <c r="V226" s="28"/>
      <c r="W226" s="28"/>
      <c r="X226" s="28"/>
      <c r="Y226" s="28"/>
      <c r="AA226" s="29"/>
      <c r="AB226" s="30"/>
      <c r="AC226" s="30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T227" s="28"/>
      <c r="U227" s="28"/>
      <c r="V227" s="28"/>
      <c r="W227" s="28"/>
      <c r="X227" s="28"/>
      <c r="Y227" s="28"/>
      <c r="AA227" s="29"/>
      <c r="AB227" s="30"/>
      <c r="AC227" s="30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T228" s="28"/>
      <c r="U228" s="28"/>
      <c r="V228" s="28"/>
      <c r="W228" s="28"/>
      <c r="X228" s="28"/>
      <c r="Y228" s="28"/>
      <c r="AA228" s="29"/>
      <c r="AB228" s="30"/>
      <c r="AC228" s="30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T229" s="28"/>
      <c r="U229" s="28"/>
      <c r="V229" s="28"/>
      <c r="W229" s="28"/>
      <c r="X229" s="28"/>
      <c r="Y229" s="28"/>
      <c r="AA229" s="29"/>
      <c r="AB229" s="30"/>
      <c r="AC229" s="30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T230" s="28"/>
      <c r="U230" s="28"/>
      <c r="V230" s="28"/>
      <c r="W230" s="28"/>
      <c r="X230" s="28"/>
      <c r="Y230" s="28"/>
      <c r="AA230" s="29"/>
      <c r="AB230" s="30"/>
      <c r="AC230" s="30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T231" s="28"/>
      <c r="U231" s="28"/>
      <c r="V231" s="28"/>
      <c r="W231" s="28"/>
      <c r="X231" s="28"/>
      <c r="Y231" s="28"/>
      <c r="AA231" s="29"/>
      <c r="AB231" s="30"/>
      <c r="AC231" s="30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T232" s="28"/>
      <c r="U232" s="28"/>
      <c r="V232" s="28"/>
      <c r="W232" s="28"/>
      <c r="X232" s="28"/>
      <c r="Y232" s="28"/>
      <c r="AA232" s="29"/>
      <c r="AB232" s="30"/>
      <c r="AC232" s="30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T233" s="28"/>
      <c r="U233" s="28"/>
      <c r="V233" s="28"/>
      <c r="W233" s="28"/>
      <c r="X233" s="28"/>
      <c r="Y233" s="28"/>
      <c r="AA233" s="29"/>
      <c r="AB233" s="30"/>
      <c r="AC233" s="30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T234" s="28"/>
      <c r="U234" s="28"/>
      <c r="V234" s="28"/>
      <c r="W234" s="28"/>
      <c r="X234" s="28"/>
      <c r="Y234" s="28"/>
      <c r="AA234" s="29"/>
      <c r="AB234" s="30"/>
      <c r="AC234" s="30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T235" s="28"/>
      <c r="U235" s="28"/>
      <c r="V235" s="28"/>
      <c r="W235" s="28"/>
      <c r="X235" s="28"/>
      <c r="Y235" s="28"/>
      <c r="AA235" s="29"/>
      <c r="AB235" s="30"/>
      <c r="AC235" s="30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T236" s="28"/>
      <c r="U236" s="28"/>
      <c r="V236" s="28"/>
      <c r="W236" s="28"/>
      <c r="X236" s="28"/>
      <c r="Y236" s="28"/>
      <c r="AA236" s="29"/>
      <c r="AB236" s="30"/>
      <c r="AC236" s="30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T237" s="28"/>
      <c r="U237" s="28"/>
      <c r="V237" s="28"/>
      <c r="W237" s="28"/>
      <c r="X237" s="28"/>
      <c r="Y237" s="28"/>
      <c r="AA237" s="29"/>
      <c r="AB237" s="30"/>
      <c r="AC237" s="30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T238" s="28"/>
      <c r="U238" s="28"/>
      <c r="V238" s="28"/>
      <c r="W238" s="28"/>
      <c r="X238" s="28"/>
      <c r="Y238" s="28"/>
      <c r="AA238" s="29"/>
      <c r="AB238" s="30"/>
      <c r="AC238" s="30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T239" s="28"/>
      <c r="U239" s="28"/>
      <c r="V239" s="28"/>
      <c r="W239" s="28"/>
      <c r="X239" s="28"/>
      <c r="Y239" s="28"/>
      <c r="AA239" s="29"/>
      <c r="AB239" s="30"/>
      <c r="AC239" s="30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T240" s="28"/>
      <c r="U240" s="28"/>
      <c r="V240" s="28"/>
      <c r="W240" s="28"/>
      <c r="X240" s="28"/>
      <c r="Y240" s="28"/>
      <c r="AA240" s="29"/>
      <c r="AB240" s="30"/>
      <c r="AC240" s="30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T241" s="28"/>
      <c r="U241" s="28"/>
      <c r="V241" s="28"/>
      <c r="W241" s="28"/>
      <c r="X241" s="28"/>
      <c r="Y241" s="28"/>
      <c r="AA241" s="29"/>
      <c r="AB241" s="30"/>
      <c r="AC241" s="30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T242" s="28"/>
      <c r="U242" s="28"/>
      <c r="V242" s="28"/>
      <c r="W242" s="28"/>
      <c r="X242" s="28"/>
      <c r="Y242" s="28"/>
      <c r="AA242" s="29"/>
      <c r="AB242" s="30"/>
      <c r="AC242" s="30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T243" s="28"/>
      <c r="U243" s="28"/>
      <c r="V243" s="28"/>
      <c r="W243" s="28"/>
      <c r="X243" s="28"/>
      <c r="Y243" s="28"/>
      <c r="AA243" s="29"/>
      <c r="AB243" s="30"/>
      <c r="AC243" s="30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T244" s="28"/>
      <c r="U244" s="28"/>
      <c r="V244" s="28"/>
      <c r="W244" s="28"/>
      <c r="X244" s="28"/>
      <c r="Y244" s="28"/>
      <c r="AA244" s="29"/>
      <c r="AB244" s="30"/>
      <c r="AC244" s="30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T245" s="28"/>
      <c r="U245" s="28"/>
      <c r="V245" s="28"/>
      <c r="W245" s="28"/>
      <c r="X245" s="28"/>
      <c r="Y245" s="28"/>
      <c r="AA245" s="29"/>
      <c r="AB245" s="30"/>
      <c r="AC245" s="30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T246" s="28"/>
      <c r="U246" s="28"/>
      <c r="V246" s="28"/>
      <c r="W246" s="28"/>
      <c r="X246" s="28"/>
      <c r="Y246" s="28"/>
      <c r="AA246" s="29"/>
      <c r="AB246" s="30"/>
      <c r="AC246" s="30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T247" s="28"/>
      <c r="U247" s="28"/>
      <c r="V247" s="28"/>
      <c r="W247" s="28"/>
      <c r="X247" s="28"/>
      <c r="Y247" s="28"/>
      <c r="AA247" s="29"/>
      <c r="AB247" s="30"/>
      <c r="AC247" s="30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T248" s="28"/>
      <c r="U248" s="28"/>
      <c r="V248" s="28"/>
      <c r="W248" s="28"/>
      <c r="X248" s="28"/>
      <c r="Y248" s="28"/>
      <c r="AA248" s="29"/>
      <c r="AB248" s="30"/>
      <c r="AC248" s="30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T249" s="28"/>
      <c r="U249" s="28"/>
      <c r="V249" s="28"/>
      <c r="W249" s="28"/>
      <c r="X249" s="28"/>
      <c r="Y249" s="28"/>
      <c r="AA249" s="29"/>
      <c r="AB249" s="30"/>
      <c r="AC249" s="30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T250" s="28"/>
      <c r="U250" s="28"/>
      <c r="V250" s="28"/>
      <c r="W250" s="28"/>
      <c r="X250" s="28"/>
      <c r="Y250" s="28"/>
      <c r="AA250" s="29"/>
      <c r="AB250" s="30"/>
      <c r="AC250" s="30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T251" s="28"/>
      <c r="U251" s="28"/>
      <c r="V251" s="28"/>
      <c r="W251" s="28"/>
      <c r="X251" s="28"/>
      <c r="Y251" s="28"/>
      <c r="AA251" s="29"/>
      <c r="AB251" s="30"/>
      <c r="AC251" s="30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T252" s="28"/>
      <c r="U252" s="28"/>
      <c r="V252" s="28"/>
      <c r="W252" s="28"/>
      <c r="X252" s="28"/>
      <c r="Y252" s="28"/>
      <c r="AA252" s="29"/>
      <c r="AB252" s="30"/>
      <c r="AC252" s="30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T253" s="28"/>
      <c r="U253" s="28"/>
      <c r="V253" s="28"/>
      <c r="W253" s="28"/>
      <c r="X253" s="28"/>
      <c r="Y253" s="28"/>
      <c r="AA253" s="29"/>
      <c r="AB253" s="30"/>
      <c r="AC253" s="30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T254" s="28"/>
      <c r="U254" s="28"/>
      <c r="V254" s="28"/>
      <c r="W254" s="28"/>
      <c r="X254" s="28"/>
      <c r="Y254" s="28"/>
      <c r="AA254" s="29"/>
      <c r="AB254" s="30"/>
      <c r="AC254" s="30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T255" s="28"/>
      <c r="U255" s="28"/>
      <c r="V255" s="28"/>
      <c r="W255" s="28"/>
      <c r="X255" s="28"/>
      <c r="Y255" s="28"/>
      <c r="AA255" s="29"/>
      <c r="AB255" s="30"/>
      <c r="AC255" s="30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T256" s="28"/>
      <c r="U256" s="28"/>
      <c r="V256" s="28"/>
      <c r="W256" s="28"/>
      <c r="X256" s="28"/>
      <c r="Y256" s="28"/>
      <c r="AA256" s="29"/>
      <c r="AB256" s="30"/>
      <c r="AC256" s="30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T257" s="28"/>
      <c r="U257" s="28"/>
      <c r="V257" s="28"/>
      <c r="W257" s="28"/>
      <c r="X257" s="28"/>
      <c r="Y257" s="28"/>
      <c r="AA257" s="29"/>
      <c r="AB257" s="30"/>
      <c r="AC257" s="30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T258" s="28"/>
      <c r="U258" s="28"/>
      <c r="V258" s="28"/>
      <c r="W258" s="28"/>
      <c r="X258" s="28"/>
      <c r="Y258" s="28"/>
      <c r="AA258" s="29"/>
      <c r="AB258" s="30"/>
      <c r="AC258" s="30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T259" s="28"/>
      <c r="U259" s="28"/>
      <c r="V259" s="28"/>
      <c r="W259" s="28"/>
      <c r="X259" s="28"/>
      <c r="Y259" s="28"/>
      <c r="AA259" s="29"/>
      <c r="AB259" s="30"/>
      <c r="AC259" s="30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T260" s="28"/>
      <c r="U260" s="28"/>
      <c r="V260" s="28"/>
      <c r="W260" s="28"/>
      <c r="X260" s="28"/>
      <c r="Y260" s="28"/>
      <c r="AA260" s="29"/>
      <c r="AB260" s="30"/>
      <c r="AC260" s="30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T261" s="28"/>
      <c r="U261" s="28"/>
      <c r="V261" s="28"/>
      <c r="W261" s="28"/>
      <c r="X261" s="28"/>
      <c r="Y261" s="28"/>
      <c r="AA261" s="29"/>
      <c r="AB261" s="30"/>
      <c r="AC261" s="30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T262" s="28"/>
      <c r="U262" s="28"/>
      <c r="V262" s="28"/>
      <c r="W262" s="28"/>
      <c r="X262" s="28"/>
      <c r="Y262" s="28"/>
      <c r="AA262" s="29"/>
      <c r="AB262" s="30"/>
      <c r="AC262" s="30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T263" s="28"/>
      <c r="U263" s="28"/>
      <c r="V263" s="28"/>
      <c r="W263" s="28"/>
      <c r="X263" s="28"/>
      <c r="Y263" s="28"/>
      <c r="AA263" s="29"/>
      <c r="AB263" s="30"/>
      <c r="AC263" s="30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T264" s="28"/>
      <c r="U264" s="28"/>
      <c r="V264" s="28"/>
      <c r="W264" s="28"/>
      <c r="X264" s="28"/>
      <c r="Y264" s="28"/>
      <c r="AA264" s="29"/>
      <c r="AB264" s="30"/>
      <c r="AC264" s="30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T265" s="28"/>
      <c r="U265" s="28"/>
      <c r="V265" s="28"/>
      <c r="W265" s="28"/>
      <c r="X265" s="28"/>
      <c r="Y265" s="28"/>
      <c r="AA265" s="29"/>
      <c r="AB265" s="30"/>
      <c r="AC265" s="30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T266" s="28"/>
      <c r="U266" s="28"/>
      <c r="V266" s="28"/>
      <c r="W266" s="28"/>
      <c r="X266" s="28"/>
      <c r="Y266" s="28"/>
      <c r="AA266" s="29"/>
      <c r="AB266" s="30"/>
      <c r="AC266" s="30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T267" s="28"/>
      <c r="U267" s="28"/>
      <c r="V267" s="28"/>
      <c r="W267" s="28"/>
      <c r="X267" s="28"/>
      <c r="Y267" s="28"/>
      <c r="AA267" s="29"/>
      <c r="AB267" s="30"/>
      <c r="AC267" s="30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T268" s="28"/>
      <c r="U268" s="28"/>
      <c r="V268" s="28"/>
      <c r="W268" s="28"/>
      <c r="X268" s="28"/>
      <c r="Y268" s="28"/>
      <c r="AA268" s="29"/>
      <c r="AB268" s="30"/>
      <c r="AC268" s="30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T269" s="28"/>
      <c r="U269" s="28"/>
      <c r="V269" s="28"/>
      <c r="W269" s="28"/>
      <c r="X269" s="28"/>
      <c r="Y269" s="28"/>
      <c r="AA269" s="29"/>
      <c r="AB269" s="30"/>
      <c r="AC269" s="30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T270" s="28"/>
      <c r="U270" s="28"/>
      <c r="V270" s="28"/>
      <c r="W270" s="28"/>
      <c r="X270" s="28"/>
      <c r="Y270" s="28"/>
      <c r="AA270" s="29"/>
      <c r="AB270" s="30"/>
      <c r="AC270" s="30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T271" s="28"/>
      <c r="U271" s="28"/>
      <c r="V271" s="28"/>
      <c r="W271" s="28"/>
      <c r="X271" s="28"/>
      <c r="Y271" s="28"/>
      <c r="AA271" s="29"/>
      <c r="AB271" s="30"/>
      <c r="AC271" s="30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T272" s="28"/>
      <c r="U272" s="28"/>
      <c r="V272" s="28"/>
      <c r="W272" s="28"/>
      <c r="X272" s="28"/>
      <c r="Y272" s="28"/>
      <c r="AA272" s="29"/>
      <c r="AB272" s="30"/>
      <c r="AC272" s="30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T273" s="28"/>
      <c r="U273" s="28"/>
      <c r="V273" s="28"/>
      <c r="W273" s="28"/>
      <c r="X273" s="28"/>
      <c r="Y273" s="28"/>
      <c r="AA273" s="29"/>
      <c r="AB273" s="30"/>
      <c r="AC273" s="30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T274" s="28"/>
      <c r="U274" s="28"/>
      <c r="V274" s="28"/>
      <c r="W274" s="28"/>
      <c r="X274" s="28"/>
      <c r="Y274" s="28"/>
      <c r="AA274" s="29"/>
      <c r="AB274" s="30"/>
      <c r="AC274" s="30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T275" s="28"/>
      <c r="U275" s="28"/>
      <c r="V275" s="28"/>
      <c r="W275" s="28"/>
      <c r="X275" s="28"/>
      <c r="Y275" s="28"/>
      <c r="AA275" s="29"/>
      <c r="AB275" s="30"/>
      <c r="AC275" s="30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T276" s="28"/>
      <c r="U276" s="28"/>
      <c r="V276" s="28"/>
      <c r="W276" s="28"/>
      <c r="X276" s="28"/>
      <c r="Y276" s="28"/>
      <c r="AA276" s="29"/>
      <c r="AB276" s="30"/>
      <c r="AC276" s="30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T277" s="28"/>
      <c r="U277" s="28"/>
      <c r="V277" s="28"/>
      <c r="W277" s="28"/>
      <c r="X277" s="28"/>
      <c r="Y277" s="28"/>
      <c r="AA277" s="29"/>
      <c r="AB277" s="30"/>
      <c r="AC277" s="30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T278" s="28"/>
      <c r="U278" s="28"/>
      <c r="V278" s="28"/>
      <c r="W278" s="28"/>
      <c r="X278" s="28"/>
      <c r="Y278" s="28"/>
      <c r="AA278" s="29"/>
      <c r="AB278" s="30"/>
      <c r="AC278" s="30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T279" s="28"/>
      <c r="U279" s="28"/>
      <c r="V279" s="28"/>
      <c r="W279" s="28"/>
      <c r="X279" s="28"/>
      <c r="Y279" s="28"/>
      <c r="AA279" s="29"/>
      <c r="AB279" s="30"/>
      <c r="AC279" s="30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T280" s="28"/>
      <c r="U280" s="28"/>
      <c r="V280" s="28"/>
      <c r="W280" s="28"/>
      <c r="X280" s="28"/>
      <c r="Y280" s="28"/>
      <c r="AA280" s="29"/>
      <c r="AB280" s="30"/>
      <c r="AC280" s="30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</row>
  </sheetData>
  <conditionalFormatting sqref="A1:C1 Q1:Q169 R1:W280 X1:Y1 A3:C3 X3:Y280 Z3:AA3 AB3:AG280 A33:N33 A35:N35 A37:N37">
    <cfRule type="containsText" dxfId="0" priority="1" operator="containsText" text="Match found">
      <formula>NOT(ISERROR(SEARCH(("Match found"),(A1))))</formula>
    </cfRule>
  </conditionalFormatting>
  <hyperlinks>
    <hyperlink display="Input positions for SASA MDs" location="SASA_MD!A1" ref="A68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8.25"/>
    <col customWidth="1" min="3" max="3" width="13.38"/>
    <col customWidth="1" min="4" max="4" width="10.5"/>
    <col customWidth="1" min="5" max="5" width="13.0"/>
    <col customWidth="1" min="6" max="6" width="10.38"/>
    <col customWidth="1" min="7" max="7" width="11.38"/>
    <col customWidth="1" min="8" max="8" width="10.25"/>
    <col customWidth="1" min="9" max="9" width="16.63"/>
    <col customWidth="1" min="10" max="10" width="15.5"/>
    <col customWidth="1" min="11" max="11" width="12.0"/>
    <col customWidth="1" min="12" max="12" width="10.5"/>
    <col customWidth="1" min="13" max="13" width="8.25"/>
    <col customWidth="1" min="14" max="14" width="13.0"/>
    <col customWidth="1" min="15" max="15" width="14.0"/>
    <col customWidth="1" min="16" max="16" width="15.38"/>
    <col customWidth="1" min="17" max="17" width="19.0"/>
    <col customWidth="1" min="18" max="18" width="18.75"/>
    <col customWidth="1" min="19" max="19" width="22.25"/>
    <col customWidth="1" min="20" max="20" width="24.63"/>
    <col customWidth="1" min="21" max="21" width="17.63"/>
    <col customWidth="1" min="22" max="22" width="20.13"/>
    <col customWidth="1" min="25" max="25" width="14.5"/>
  </cols>
  <sheetData>
    <row r="1">
      <c r="A1" s="5" t="s">
        <v>23</v>
      </c>
      <c r="Q1" s="6" t="s">
        <v>24</v>
      </c>
      <c r="R1" s="7"/>
      <c r="S1" s="7"/>
      <c r="T1" s="8" t="s">
        <v>25</v>
      </c>
      <c r="U1" s="7"/>
      <c r="V1" s="7"/>
      <c r="W1" s="9"/>
      <c r="X1" s="10"/>
      <c r="Z1" s="11"/>
      <c r="AB1" s="12"/>
    </row>
    <row r="2">
      <c r="A2" s="2" t="s">
        <v>26</v>
      </c>
      <c r="Q2" s="7"/>
      <c r="R2" s="7"/>
      <c r="S2" s="7"/>
      <c r="T2" s="7"/>
      <c r="U2" s="7"/>
      <c r="V2" s="7"/>
    </row>
    <row r="3">
      <c r="A3" s="13" t="s">
        <v>27</v>
      </c>
      <c r="B3" s="13"/>
      <c r="C3" s="13"/>
      <c r="D3" s="14"/>
      <c r="E3" s="14"/>
      <c r="F3" s="15" t="s">
        <v>28</v>
      </c>
      <c r="G3" s="15"/>
      <c r="H3" s="15"/>
      <c r="I3" s="14"/>
      <c r="J3" s="14"/>
      <c r="K3" s="15" t="s">
        <v>29</v>
      </c>
      <c r="L3" s="15"/>
      <c r="M3" s="15"/>
      <c r="N3" s="14"/>
      <c r="O3" s="14"/>
      <c r="Q3" s="16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8" t="s">
        <v>32</v>
      </c>
      <c r="W3" s="19"/>
      <c r="X3" s="20"/>
      <c r="Y3" s="20"/>
    </row>
    <row r="4">
      <c r="A4" s="21" t="s">
        <v>33</v>
      </c>
      <c r="B4" s="22" t="s">
        <v>34</v>
      </c>
      <c r="C4" s="22" t="s">
        <v>35</v>
      </c>
      <c r="D4" s="22" t="s">
        <v>36</v>
      </c>
      <c r="E4" s="23" t="s">
        <v>37</v>
      </c>
      <c r="F4" s="21" t="s">
        <v>33</v>
      </c>
      <c r="G4" s="22" t="s">
        <v>34</v>
      </c>
      <c r="H4" s="22" t="s">
        <v>35</v>
      </c>
      <c r="I4" s="22" t="s">
        <v>36</v>
      </c>
      <c r="J4" s="23" t="s">
        <v>37</v>
      </c>
      <c r="K4" s="21" t="s">
        <v>33</v>
      </c>
      <c r="L4" s="22" t="s">
        <v>34</v>
      </c>
      <c r="M4" s="22" t="s">
        <v>35</v>
      </c>
      <c r="N4" s="22" t="s">
        <v>36</v>
      </c>
      <c r="O4" s="23" t="s">
        <v>37</v>
      </c>
      <c r="Q4" s="26"/>
      <c r="R4" s="55" t="s">
        <v>47</v>
      </c>
      <c r="S4" s="55" t="s">
        <v>48</v>
      </c>
      <c r="T4" s="27" t="s">
        <v>49</v>
      </c>
      <c r="U4" s="27" t="s">
        <v>50</v>
      </c>
      <c r="V4" s="27" t="s">
        <v>48</v>
      </c>
      <c r="W4" s="28"/>
      <c r="X4" s="28"/>
      <c r="Y4" s="28"/>
      <c r="AA4" s="30"/>
      <c r="AB4" s="30"/>
      <c r="AC4" s="30"/>
    </row>
    <row r="5">
      <c r="A5" s="31">
        <v>12.179</v>
      </c>
      <c r="B5" s="32">
        <v>-0.077</v>
      </c>
      <c r="C5" s="32">
        <v>24.436</v>
      </c>
      <c r="D5" s="32" t="s">
        <v>2</v>
      </c>
      <c r="E5" s="33">
        <v>-0.192</v>
      </c>
      <c r="F5" s="31">
        <v>8.823</v>
      </c>
      <c r="G5" s="32">
        <v>27.935</v>
      </c>
      <c r="H5" s="32">
        <v>12.114</v>
      </c>
      <c r="I5" s="32" t="s">
        <v>8</v>
      </c>
      <c r="J5" s="33">
        <v>-1.085</v>
      </c>
      <c r="K5" s="31">
        <v>-16.989</v>
      </c>
      <c r="L5" s="32">
        <v>-15.98</v>
      </c>
      <c r="M5" s="32">
        <v>9.198</v>
      </c>
      <c r="N5" s="32" t="s">
        <v>11</v>
      </c>
      <c r="O5" s="33">
        <v>-1.409</v>
      </c>
      <c r="Q5" s="26"/>
      <c r="R5" s="26"/>
      <c r="S5" s="55" t="s">
        <v>51</v>
      </c>
      <c r="T5" s="27" t="s">
        <v>51</v>
      </c>
      <c r="U5" s="27" t="s">
        <v>52</v>
      </c>
      <c r="V5" s="27" t="s">
        <v>53</v>
      </c>
      <c r="W5" s="28"/>
      <c r="X5" s="28"/>
      <c r="Y5" s="28"/>
      <c r="AA5" s="30"/>
      <c r="AE5" s="30"/>
    </row>
    <row r="6">
      <c r="A6" s="34">
        <v>-15.483</v>
      </c>
      <c r="B6" s="35">
        <v>5.389</v>
      </c>
      <c r="C6" s="35">
        <v>16.864</v>
      </c>
      <c r="D6" s="35" t="s">
        <v>14</v>
      </c>
      <c r="E6" s="36">
        <v>-0.19</v>
      </c>
      <c r="F6" s="34">
        <v>6.326</v>
      </c>
      <c r="G6" s="35">
        <v>11.068</v>
      </c>
      <c r="H6" s="35">
        <v>-0.065</v>
      </c>
      <c r="I6" s="35" t="s">
        <v>4</v>
      </c>
      <c r="J6" s="36">
        <v>-1.076</v>
      </c>
      <c r="K6" s="34">
        <v>-8.38</v>
      </c>
      <c r="L6" s="35">
        <v>9.263</v>
      </c>
      <c r="M6" s="35">
        <v>32.7</v>
      </c>
      <c r="N6" s="35" t="s">
        <v>11</v>
      </c>
      <c r="O6" s="36">
        <v>-1.398</v>
      </c>
      <c r="Q6" s="26"/>
      <c r="R6" s="26"/>
      <c r="S6" s="26"/>
      <c r="T6" s="27" t="s">
        <v>54</v>
      </c>
      <c r="U6" s="27" t="s">
        <v>49</v>
      </c>
      <c r="V6" s="37"/>
      <c r="W6" s="28"/>
      <c r="X6" s="28"/>
      <c r="Y6" s="28"/>
      <c r="AA6" s="30"/>
      <c r="AB6" s="30"/>
      <c r="AC6" s="30"/>
    </row>
    <row r="7">
      <c r="A7" s="34">
        <v>20.507</v>
      </c>
      <c r="B7" s="35">
        <v>19.845</v>
      </c>
      <c r="C7" s="35">
        <v>18.043</v>
      </c>
      <c r="D7" s="35" t="s">
        <v>11</v>
      </c>
      <c r="E7" s="36">
        <v>-0.189</v>
      </c>
      <c r="F7" s="34">
        <v>15.2</v>
      </c>
      <c r="G7" s="35">
        <v>-1.989</v>
      </c>
      <c r="H7" s="35">
        <v>13.24</v>
      </c>
      <c r="I7" s="35" t="s">
        <v>8</v>
      </c>
      <c r="J7" s="36">
        <v>-1.065</v>
      </c>
      <c r="K7" s="34">
        <v>-15.175</v>
      </c>
      <c r="L7" s="35">
        <v>-14.652</v>
      </c>
      <c r="M7" s="35">
        <v>-12.953</v>
      </c>
      <c r="N7" s="35" t="s">
        <v>10</v>
      </c>
      <c r="O7" s="36">
        <v>-1.383</v>
      </c>
      <c r="Q7" s="26"/>
      <c r="R7" s="26"/>
      <c r="S7" s="26"/>
      <c r="T7" s="37"/>
      <c r="U7" s="37"/>
      <c r="V7" s="37"/>
      <c r="W7" s="28"/>
      <c r="X7" s="28"/>
      <c r="Y7" s="28"/>
      <c r="AA7" s="30"/>
      <c r="AB7" s="30"/>
      <c r="AC7" s="30"/>
    </row>
    <row r="8">
      <c r="A8" s="34">
        <v>8.763</v>
      </c>
      <c r="B8" s="35">
        <v>-20.284</v>
      </c>
      <c r="C8" s="35">
        <v>0.513</v>
      </c>
      <c r="D8" s="35" t="s">
        <v>10</v>
      </c>
      <c r="E8" s="36">
        <v>-0.189</v>
      </c>
      <c r="F8" s="34">
        <v>7.7</v>
      </c>
      <c r="G8" s="35">
        <v>10.283</v>
      </c>
      <c r="H8" s="35">
        <v>6.365</v>
      </c>
      <c r="I8" s="35" t="s">
        <v>7</v>
      </c>
      <c r="J8" s="36">
        <v>-1.064</v>
      </c>
      <c r="K8" s="34">
        <v>18.075</v>
      </c>
      <c r="L8" s="35">
        <v>-1.759</v>
      </c>
      <c r="M8" s="35">
        <v>6.571</v>
      </c>
      <c r="N8" s="35" t="s">
        <v>8</v>
      </c>
      <c r="O8" s="36">
        <v>-1.338</v>
      </c>
      <c r="T8" s="28"/>
      <c r="U8" s="28"/>
      <c r="V8" s="28"/>
      <c r="W8" s="28"/>
      <c r="X8" s="28"/>
      <c r="Y8" s="28"/>
      <c r="AA8" s="30"/>
      <c r="AB8" s="30"/>
      <c r="AC8" s="30"/>
    </row>
    <row r="9">
      <c r="A9" s="34">
        <v>7.745</v>
      </c>
      <c r="B9" s="35">
        <v>-19.744</v>
      </c>
      <c r="C9" s="35">
        <v>-0.11</v>
      </c>
      <c r="D9" s="35" t="s">
        <v>18</v>
      </c>
      <c r="E9" s="36">
        <v>-0.187</v>
      </c>
      <c r="F9" s="34">
        <v>-13.127</v>
      </c>
      <c r="G9" s="35">
        <v>-8.42</v>
      </c>
      <c r="H9" s="35">
        <v>-0.185</v>
      </c>
      <c r="I9" s="35" t="s">
        <v>11</v>
      </c>
      <c r="J9" s="36">
        <v>-1.06</v>
      </c>
      <c r="K9" s="34">
        <v>-5.055</v>
      </c>
      <c r="L9" s="35">
        <v>-24.573</v>
      </c>
      <c r="M9" s="35">
        <v>-25.616</v>
      </c>
      <c r="N9" s="35" t="s">
        <v>11</v>
      </c>
      <c r="O9" s="36">
        <v>-1.322</v>
      </c>
      <c r="T9" s="28"/>
      <c r="U9" s="28"/>
      <c r="V9" s="28"/>
      <c r="W9" s="28"/>
      <c r="X9" s="28"/>
      <c r="Y9" s="28"/>
      <c r="AA9" s="30"/>
      <c r="AB9" s="30"/>
      <c r="AC9" s="30"/>
    </row>
    <row r="10">
      <c r="A10" s="34">
        <v>13.691</v>
      </c>
      <c r="B10" s="35">
        <v>23.222</v>
      </c>
      <c r="C10" s="35">
        <v>4.527</v>
      </c>
      <c r="D10" s="35" t="s">
        <v>10</v>
      </c>
      <c r="E10" s="36">
        <v>-0.186</v>
      </c>
      <c r="F10" s="34">
        <v>14.635</v>
      </c>
      <c r="G10" s="35">
        <v>-1.651</v>
      </c>
      <c r="H10" s="35">
        <v>14.287</v>
      </c>
      <c r="I10" s="35" t="s">
        <v>6</v>
      </c>
      <c r="J10" s="36">
        <v>-1.052</v>
      </c>
      <c r="K10" s="34">
        <v>0.087</v>
      </c>
      <c r="L10" s="35">
        <v>12.494</v>
      </c>
      <c r="M10" s="35">
        <v>-5.347</v>
      </c>
      <c r="N10" s="35" t="s">
        <v>5</v>
      </c>
      <c r="O10" s="36">
        <v>-1.299</v>
      </c>
      <c r="T10" s="28"/>
      <c r="U10" s="28"/>
      <c r="V10" s="28"/>
      <c r="W10" s="28"/>
      <c r="X10" s="28"/>
      <c r="Y10" s="28"/>
      <c r="AA10" s="30"/>
      <c r="AB10" s="30"/>
      <c r="AC10" s="30"/>
    </row>
    <row r="11">
      <c r="A11" s="34">
        <v>-14.284</v>
      </c>
      <c r="B11" s="35">
        <v>1.773</v>
      </c>
      <c r="C11" s="35">
        <v>16.202</v>
      </c>
      <c r="D11" s="35" t="s">
        <v>5</v>
      </c>
      <c r="E11" s="36">
        <v>-0.185</v>
      </c>
      <c r="F11" s="34">
        <v>16.614</v>
      </c>
      <c r="G11" s="35">
        <v>7.34</v>
      </c>
      <c r="H11" s="35">
        <v>3.272</v>
      </c>
      <c r="I11" s="35" t="s">
        <v>10</v>
      </c>
      <c r="J11" s="36">
        <v>-1.036</v>
      </c>
      <c r="K11" s="34">
        <v>-19.147</v>
      </c>
      <c r="L11" s="35">
        <v>-11.044</v>
      </c>
      <c r="M11" s="35">
        <v>10.239</v>
      </c>
      <c r="N11" s="35" t="s">
        <v>10</v>
      </c>
      <c r="O11" s="36">
        <v>-1.284</v>
      </c>
      <c r="T11" s="28"/>
      <c r="U11" s="28"/>
      <c r="V11" s="28"/>
      <c r="W11" s="28"/>
      <c r="X11" s="28"/>
      <c r="Y11" s="28"/>
      <c r="AA11" s="30"/>
      <c r="AB11" s="30"/>
      <c r="AC11" s="30"/>
    </row>
    <row r="12">
      <c r="A12" s="39">
        <v>14.413</v>
      </c>
      <c r="B12" s="40">
        <v>23.447</v>
      </c>
      <c r="C12" s="40">
        <v>4.316</v>
      </c>
      <c r="D12" s="41" t="s">
        <v>10</v>
      </c>
      <c r="E12" s="42">
        <v>-0.184</v>
      </c>
      <c r="F12" s="34">
        <v>16.081</v>
      </c>
      <c r="G12" s="35">
        <v>20.355</v>
      </c>
      <c r="H12" s="35">
        <v>7.72</v>
      </c>
      <c r="I12" s="35" t="s">
        <v>8</v>
      </c>
      <c r="J12" s="36">
        <v>-1.036</v>
      </c>
      <c r="K12" s="34">
        <v>7.443</v>
      </c>
      <c r="L12" s="35">
        <v>31.566</v>
      </c>
      <c r="M12" s="35">
        <v>13.667</v>
      </c>
      <c r="N12" s="35" t="s">
        <v>10</v>
      </c>
      <c r="O12" s="36">
        <v>-1.277</v>
      </c>
      <c r="T12" s="28"/>
      <c r="U12" s="28"/>
      <c r="V12" s="28"/>
      <c r="W12" s="28"/>
      <c r="X12" s="28"/>
      <c r="Y12" s="28"/>
      <c r="AA12" s="30"/>
      <c r="AB12" s="30"/>
      <c r="AC12" s="30"/>
    </row>
    <row r="13">
      <c r="A13" s="39">
        <v>-2.892</v>
      </c>
      <c r="B13" s="40">
        <v>2.096</v>
      </c>
      <c r="C13" s="40">
        <v>29.94</v>
      </c>
      <c r="D13" s="41" t="s">
        <v>9</v>
      </c>
      <c r="E13" s="42">
        <v>-0.183</v>
      </c>
      <c r="F13" s="34">
        <v>5.735</v>
      </c>
      <c r="G13" s="35">
        <v>24.222</v>
      </c>
      <c r="H13" s="35">
        <v>27.625</v>
      </c>
      <c r="I13" s="35" t="s">
        <v>8</v>
      </c>
      <c r="J13" s="36">
        <v>-1.034</v>
      </c>
      <c r="K13" s="34">
        <v>-16.466</v>
      </c>
      <c r="L13" s="35">
        <v>-30.626</v>
      </c>
      <c r="M13" s="35">
        <v>-0.141</v>
      </c>
      <c r="N13" s="35" t="s">
        <v>10</v>
      </c>
      <c r="O13" s="36">
        <v>-1.266</v>
      </c>
      <c r="T13" s="28"/>
      <c r="U13" s="28"/>
      <c r="V13" s="28"/>
      <c r="W13" s="28"/>
      <c r="X13" s="28"/>
      <c r="Y13" s="28"/>
      <c r="AA13" s="30"/>
      <c r="AB13" s="30"/>
      <c r="AC13" s="30"/>
    </row>
    <row r="14">
      <c r="A14" s="39">
        <v>-3.116</v>
      </c>
      <c r="B14" s="40">
        <v>1.603</v>
      </c>
      <c r="C14" s="40">
        <v>30.266</v>
      </c>
      <c r="D14" s="41" t="s">
        <v>12</v>
      </c>
      <c r="E14" s="42">
        <v>-0.179</v>
      </c>
      <c r="F14" s="34">
        <v>-3.272</v>
      </c>
      <c r="G14" s="35">
        <v>-6.079</v>
      </c>
      <c r="H14" s="35">
        <v>7.375</v>
      </c>
      <c r="I14" s="35" t="s">
        <v>17</v>
      </c>
      <c r="J14" s="36">
        <v>-1.028</v>
      </c>
      <c r="K14" s="34">
        <v>7.899</v>
      </c>
      <c r="L14" s="35">
        <v>-20.16</v>
      </c>
      <c r="M14" s="35">
        <v>-0.742</v>
      </c>
      <c r="N14" s="35" t="s">
        <v>5</v>
      </c>
      <c r="O14" s="36">
        <v>-1.262</v>
      </c>
      <c r="T14" s="28"/>
      <c r="U14" s="28"/>
      <c r="V14" s="28"/>
      <c r="W14" s="28"/>
      <c r="X14" s="28"/>
      <c r="Y14" s="28"/>
      <c r="AA14" s="30"/>
      <c r="AB14" s="30"/>
      <c r="AC14" s="30"/>
    </row>
    <row r="15">
      <c r="A15" s="43">
        <v>-15.532</v>
      </c>
      <c r="B15" s="44">
        <v>1.682</v>
      </c>
      <c r="C15" s="44">
        <v>17.366</v>
      </c>
      <c r="D15" s="45" t="s">
        <v>10</v>
      </c>
      <c r="E15" s="46">
        <v>-0.176</v>
      </c>
      <c r="F15" s="47">
        <v>-9.565</v>
      </c>
      <c r="G15" s="25">
        <v>11.151</v>
      </c>
      <c r="H15" s="25">
        <v>13.588</v>
      </c>
      <c r="I15" s="25" t="s">
        <v>15</v>
      </c>
      <c r="J15" s="48">
        <v>-1.027</v>
      </c>
      <c r="K15" s="47">
        <v>8.421</v>
      </c>
      <c r="L15" s="25">
        <v>-20.694</v>
      </c>
      <c r="M15" s="25">
        <v>-0.561</v>
      </c>
      <c r="N15" s="25" t="s">
        <v>10</v>
      </c>
      <c r="O15" s="48">
        <v>-1.236</v>
      </c>
      <c r="P15" s="49"/>
      <c r="T15" s="28"/>
      <c r="U15" s="28"/>
      <c r="V15" s="28"/>
      <c r="W15" s="28"/>
      <c r="X15" s="28"/>
      <c r="Y15" s="28"/>
      <c r="AA15" s="30"/>
      <c r="AB15" s="30"/>
      <c r="AC15" s="30"/>
    </row>
    <row r="16">
      <c r="A16" s="43">
        <v>6.285</v>
      </c>
      <c r="B16" s="44">
        <v>14.632</v>
      </c>
      <c r="C16" s="44">
        <v>4.308</v>
      </c>
      <c r="D16" s="45" t="s">
        <v>4</v>
      </c>
      <c r="E16" s="46">
        <v>-0.176</v>
      </c>
      <c r="F16" s="47">
        <v>4.047</v>
      </c>
      <c r="G16" s="25">
        <v>26.813</v>
      </c>
      <c r="H16" s="25">
        <v>18.33</v>
      </c>
      <c r="I16" s="25" t="s">
        <v>2</v>
      </c>
      <c r="J16" s="48">
        <v>-1.027</v>
      </c>
      <c r="K16" s="47">
        <v>-25.721</v>
      </c>
      <c r="L16" s="25">
        <v>-12.004</v>
      </c>
      <c r="M16" s="25">
        <v>3.247</v>
      </c>
      <c r="N16" s="25" t="s">
        <v>10</v>
      </c>
      <c r="O16" s="48">
        <v>-1.223</v>
      </c>
      <c r="P16" s="50"/>
      <c r="T16" s="28"/>
      <c r="U16" s="28"/>
      <c r="V16" s="28"/>
      <c r="W16" s="28"/>
      <c r="X16" s="28"/>
      <c r="Y16" s="28"/>
      <c r="AA16" s="30"/>
      <c r="AB16" s="30"/>
      <c r="AC16" s="30"/>
    </row>
    <row r="17">
      <c r="A17" s="47">
        <v>12.247</v>
      </c>
      <c r="B17" s="25">
        <v>-1.246</v>
      </c>
      <c r="C17" s="25">
        <v>25.117</v>
      </c>
      <c r="D17" s="25" t="s">
        <v>8</v>
      </c>
      <c r="E17" s="48">
        <v>-0.175</v>
      </c>
      <c r="F17" s="47">
        <v>-13.403</v>
      </c>
      <c r="G17" s="25">
        <v>-8.081</v>
      </c>
      <c r="H17" s="25">
        <v>-0.177</v>
      </c>
      <c r="I17" s="25" t="s">
        <v>21</v>
      </c>
      <c r="J17" s="48">
        <v>-1.02</v>
      </c>
      <c r="K17" s="51">
        <v>10.707</v>
      </c>
      <c r="L17" s="52">
        <v>-22.808</v>
      </c>
      <c r="M17" s="52">
        <v>-9.177</v>
      </c>
      <c r="N17" s="52" t="s">
        <v>10</v>
      </c>
      <c r="O17" s="53">
        <v>-1.142</v>
      </c>
      <c r="P17" s="25"/>
      <c r="T17" s="28"/>
      <c r="U17" s="28"/>
      <c r="V17" s="28"/>
      <c r="W17" s="28"/>
      <c r="X17" s="28"/>
      <c r="Y17" s="28"/>
      <c r="AA17" s="30"/>
      <c r="AB17" s="30"/>
      <c r="AC17" s="30"/>
    </row>
    <row r="18">
      <c r="A18" s="47">
        <v>-12.227</v>
      </c>
      <c r="B18" s="25">
        <v>6.385</v>
      </c>
      <c r="C18" s="25">
        <v>-22.695</v>
      </c>
      <c r="D18" s="25" t="s">
        <v>12</v>
      </c>
      <c r="E18" s="48">
        <v>-0.175</v>
      </c>
      <c r="F18" s="47">
        <v>-3.009</v>
      </c>
      <c r="G18" s="25">
        <v>-5.874</v>
      </c>
      <c r="H18" s="25">
        <v>-2.273</v>
      </c>
      <c r="I18" s="25" t="s">
        <v>6</v>
      </c>
      <c r="J18" s="48">
        <v>-1.02</v>
      </c>
      <c r="K18" s="54">
        <v>-11.168</v>
      </c>
      <c r="L18" s="55">
        <v>24.021</v>
      </c>
      <c r="M18" s="55">
        <v>28.93</v>
      </c>
      <c r="N18" s="55" t="s">
        <v>11</v>
      </c>
      <c r="O18" s="48">
        <v>-1.139</v>
      </c>
      <c r="P18" s="25"/>
      <c r="T18" s="28"/>
      <c r="U18" s="28"/>
      <c r="V18" s="28"/>
      <c r="W18" s="28"/>
      <c r="X18" s="28"/>
      <c r="Y18" s="28"/>
      <c r="AA18" s="30"/>
      <c r="AB18" s="30"/>
      <c r="AC18" s="30"/>
    </row>
    <row r="19">
      <c r="A19" s="47">
        <v>20.667</v>
      </c>
      <c r="B19" s="25">
        <v>-4.178</v>
      </c>
      <c r="C19" s="25">
        <v>9.303</v>
      </c>
      <c r="D19" s="25" t="s">
        <v>11</v>
      </c>
      <c r="E19" s="48">
        <v>-0.174</v>
      </c>
      <c r="F19" s="47">
        <v>-3.822</v>
      </c>
      <c r="G19" s="25">
        <v>-20.006</v>
      </c>
      <c r="H19" s="25">
        <v>-7.116</v>
      </c>
      <c r="I19" s="25" t="s">
        <v>3</v>
      </c>
      <c r="J19" s="48">
        <v>-1.019</v>
      </c>
      <c r="K19" s="47">
        <v>-2.193</v>
      </c>
      <c r="L19" s="25">
        <v>-6.701</v>
      </c>
      <c r="M19" s="25">
        <v>20.864</v>
      </c>
      <c r="N19" s="25" t="s">
        <v>10</v>
      </c>
      <c r="O19" s="48">
        <v>-1.135</v>
      </c>
      <c r="P19" s="25"/>
      <c r="T19" s="28"/>
      <c r="U19" s="28"/>
      <c r="V19" s="28"/>
      <c r="W19" s="28"/>
      <c r="X19" s="28"/>
      <c r="Y19" s="28"/>
      <c r="AA19" s="30"/>
      <c r="AB19" s="30"/>
      <c r="AC19" s="30"/>
    </row>
    <row r="20">
      <c r="A20" s="47">
        <v>-17.64</v>
      </c>
      <c r="B20" s="25">
        <v>-1.813</v>
      </c>
      <c r="C20" s="25">
        <v>13.229</v>
      </c>
      <c r="D20" s="25" t="s">
        <v>7</v>
      </c>
      <c r="E20" s="48">
        <v>-0.171</v>
      </c>
      <c r="F20" s="47">
        <v>-3.652</v>
      </c>
      <c r="G20" s="25">
        <v>-6.23</v>
      </c>
      <c r="H20" s="25">
        <v>7.003</v>
      </c>
      <c r="I20" s="25" t="s">
        <v>9</v>
      </c>
      <c r="J20" s="48">
        <v>-1.016</v>
      </c>
      <c r="K20" s="47">
        <v>-2.842</v>
      </c>
      <c r="L20" s="25">
        <v>-5.025</v>
      </c>
      <c r="M20" s="25">
        <v>19.691</v>
      </c>
      <c r="N20" s="25" t="s">
        <v>15</v>
      </c>
      <c r="O20" s="48">
        <v>-1.065</v>
      </c>
      <c r="P20" s="25"/>
      <c r="T20" s="28"/>
      <c r="U20" s="28"/>
      <c r="V20" s="28"/>
      <c r="W20" s="28"/>
      <c r="X20" s="28"/>
      <c r="Y20" s="28"/>
      <c r="AA20" s="30"/>
      <c r="AB20" s="30"/>
      <c r="AC20" s="30"/>
    </row>
    <row r="21">
      <c r="A21" s="47">
        <v>6.615</v>
      </c>
      <c r="B21" s="25">
        <v>20.427</v>
      </c>
      <c r="C21" s="25">
        <v>10.776</v>
      </c>
      <c r="D21" s="25" t="s">
        <v>12</v>
      </c>
      <c r="E21" s="48">
        <v>-0.171</v>
      </c>
      <c r="F21" s="47">
        <v>-5.499</v>
      </c>
      <c r="G21" s="25">
        <v>15.637</v>
      </c>
      <c r="H21" s="25">
        <v>6.211</v>
      </c>
      <c r="I21" s="25" t="s">
        <v>4</v>
      </c>
      <c r="J21" s="48">
        <v>-1.007</v>
      </c>
      <c r="K21" s="47">
        <v>12.401</v>
      </c>
      <c r="L21" s="25">
        <v>7.875</v>
      </c>
      <c r="M21" s="25">
        <v>28.029</v>
      </c>
      <c r="N21" s="25" t="s">
        <v>19</v>
      </c>
      <c r="O21" s="48">
        <v>-1.025</v>
      </c>
      <c r="P21" s="25"/>
      <c r="T21" s="28"/>
      <c r="U21" s="28"/>
      <c r="V21" s="28"/>
      <c r="W21" s="28"/>
      <c r="X21" s="28"/>
      <c r="Y21" s="28"/>
      <c r="AA21" s="30"/>
      <c r="AB21" s="30"/>
      <c r="AC21" s="30"/>
    </row>
    <row r="22">
      <c r="A22" s="47">
        <v>12.895</v>
      </c>
      <c r="B22" s="25">
        <v>-1.501</v>
      </c>
      <c r="C22" s="25">
        <v>25.2</v>
      </c>
      <c r="D22" s="25" t="s">
        <v>6</v>
      </c>
      <c r="E22" s="48">
        <v>-0.17</v>
      </c>
      <c r="F22" s="47">
        <v>15.992</v>
      </c>
      <c r="G22" s="25">
        <v>20.131</v>
      </c>
      <c r="H22" s="25">
        <v>7.491</v>
      </c>
      <c r="I22" s="25" t="s">
        <v>10</v>
      </c>
      <c r="J22" s="48">
        <v>-1.003</v>
      </c>
      <c r="K22" s="47">
        <v>-9.384</v>
      </c>
      <c r="L22" s="25">
        <v>-12.324</v>
      </c>
      <c r="M22" s="25">
        <v>-11.22</v>
      </c>
      <c r="N22" s="25" t="s">
        <v>8</v>
      </c>
      <c r="O22" s="48">
        <v>-0.991</v>
      </c>
      <c r="P22" s="25"/>
      <c r="T22" s="28"/>
      <c r="U22" s="28"/>
      <c r="V22" s="28"/>
      <c r="W22" s="28"/>
      <c r="X22" s="28"/>
      <c r="Y22" s="28"/>
      <c r="AA22" s="30"/>
      <c r="AB22" s="30"/>
      <c r="AC22" s="30"/>
    </row>
    <row r="23">
      <c r="A23" s="47">
        <v>-1.064</v>
      </c>
      <c r="B23" s="25">
        <v>-7.712</v>
      </c>
      <c r="C23" s="25">
        <v>20.494</v>
      </c>
      <c r="D23" s="25" t="s">
        <v>10</v>
      </c>
      <c r="E23" s="48">
        <v>-0.169</v>
      </c>
      <c r="F23" s="47">
        <v>-3.39</v>
      </c>
      <c r="G23" s="25">
        <v>4.976</v>
      </c>
      <c r="H23" s="25">
        <v>25.656</v>
      </c>
      <c r="I23" s="25" t="s">
        <v>9</v>
      </c>
      <c r="J23" s="48">
        <v>-1.0</v>
      </c>
      <c r="K23" s="47">
        <v>-5.91</v>
      </c>
      <c r="L23" s="25">
        <v>9.104</v>
      </c>
      <c r="M23" s="25">
        <v>2.475</v>
      </c>
      <c r="N23" s="25" t="s">
        <v>5</v>
      </c>
      <c r="O23" s="48">
        <v>-0.967</v>
      </c>
      <c r="P23" s="25"/>
      <c r="T23" s="28"/>
      <c r="U23" s="28"/>
      <c r="V23" s="28"/>
      <c r="W23" s="28"/>
      <c r="X23" s="28"/>
      <c r="Y23" s="28"/>
      <c r="AA23" s="30"/>
      <c r="AB23" s="30"/>
      <c r="AC23" s="30"/>
    </row>
    <row r="24">
      <c r="A24" s="47">
        <v>21.5</v>
      </c>
      <c r="B24" s="25">
        <v>6.509</v>
      </c>
      <c r="C24" s="25">
        <v>-0.952</v>
      </c>
      <c r="D24" s="25" t="s">
        <v>10</v>
      </c>
      <c r="E24" s="48">
        <v>-0.168</v>
      </c>
      <c r="F24" s="47">
        <v>-2.26</v>
      </c>
      <c r="G24" s="25">
        <v>17.9</v>
      </c>
      <c r="H24" s="25">
        <v>9.017</v>
      </c>
      <c r="I24" s="25" t="s">
        <v>13</v>
      </c>
      <c r="J24" s="48">
        <v>-0.997</v>
      </c>
      <c r="K24" s="47">
        <v>-3.322</v>
      </c>
      <c r="L24" s="25">
        <v>1.121</v>
      </c>
      <c r="M24" s="25">
        <v>-4.888</v>
      </c>
      <c r="N24" s="25" t="s">
        <v>4</v>
      </c>
      <c r="O24" s="48">
        <v>-0.952</v>
      </c>
      <c r="P24" s="25"/>
      <c r="T24" s="28"/>
      <c r="U24" s="28"/>
      <c r="V24" s="28"/>
      <c r="W24" s="28"/>
      <c r="X24" s="28"/>
      <c r="Y24" s="28"/>
      <c r="AA24" s="30"/>
      <c r="AB24" s="30"/>
      <c r="AC24" s="30"/>
    </row>
    <row r="25">
      <c r="A25" s="47">
        <v>-4.263</v>
      </c>
      <c r="B25" s="25">
        <v>-26.42</v>
      </c>
      <c r="C25" s="25">
        <v>-25.123</v>
      </c>
      <c r="D25" s="25" t="s">
        <v>11</v>
      </c>
      <c r="E25" s="48">
        <v>-0.165</v>
      </c>
      <c r="F25" s="47">
        <v>-6.364</v>
      </c>
      <c r="G25" s="25">
        <v>4.107</v>
      </c>
      <c r="H25" s="25">
        <v>-8.018</v>
      </c>
      <c r="I25" s="25" t="s">
        <v>15</v>
      </c>
      <c r="J25" s="48">
        <v>-0.995</v>
      </c>
      <c r="K25" s="47">
        <v>-8.939</v>
      </c>
      <c r="L25" s="25">
        <v>-11.801</v>
      </c>
      <c r="M25" s="25">
        <v>-11.685</v>
      </c>
      <c r="N25" s="25" t="s">
        <v>10</v>
      </c>
      <c r="O25" s="48">
        <v>-0.949</v>
      </c>
      <c r="P25" s="25"/>
      <c r="T25" s="28"/>
      <c r="U25" s="28"/>
      <c r="V25" s="28"/>
      <c r="W25" s="28"/>
      <c r="X25" s="28"/>
      <c r="Y25" s="28"/>
      <c r="AA25" s="30"/>
      <c r="AB25" s="30"/>
      <c r="AC25" s="30"/>
    </row>
    <row r="26">
      <c r="A26" s="47">
        <v>-16.546</v>
      </c>
      <c r="B26" s="25">
        <v>1.111</v>
      </c>
      <c r="C26" s="25">
        <v>2.674</v>
      </c>
      <c r="D26" s="25" t="s">
        <v>9</v>
      </c>
      <c r="E26" s="48">
        <v>-0.164</v>
      </c>
      <c r="F26" s="47">
        <v>11.277</v>
      </c>
      <c r="G26" s="25">
        <v>-14.699</v>
      </c>
      <c r="H26" s="25">
        <v>1.665</v>
      </c>
      <c r="I26" s="25" t="s">
        <v>14</v>
      </c>
      <c r="J26" s="48">
        <v>-0.988</v>
      </c>
      <c r="K26" s="47">
        <v>-3.25</v>
      </c>
      <c r="L26" s="25">
        <v>18.644</v>
      </c>
      <c r="M26" s="25">
        <v>18.761</v>
      </c>
      <c r="N26" s="25" t="s">
        <v>3</v>
      </c>
      <c r="O26" s="48">
        <v>-0.947</v>
      </c>
      <c r="P26" s="25"/>
      <c r="T26" s="28"/>
      <c r="U26" s="28"/>
      <c r="V26" s="28"/>
      <c r="W26" s="28"/>
      <c r="X26" s="28"/>
      <c r="Y26" s="28"/>
      <c r="AA26" s="30"/>
      <c r="AB26" s="30"/>
      <c r="AC26" s="30"/>
    </row>
    <row r="27">
      <c r="A27" s="47">
        <v>7.858</v>
      </c>
      <c r="B27" s="25">
        <v>-20.474</v>
      </c>
      <c r="C27" s="25">
        <v>1.817</v>
      </c>
      <c r="D27" s="25" t="s">
        <v>11</v>
      </c>
      <c r="E27" s="48">
        <v>-0.163</v>
      </c>
      <c r="F27" s="47">
        <v>-4.422</v>
      </c>
      <c r="G27" s="25">
        <v>-16.868</v>
      </c>
      <c r="H27" s="25">
        <v>-5.296</v>
      </c>
      <c r="I27" s="25" t="s">
        <v>4</v>
      </c>
      <c r="J27" s="48">
        <v>-0.976</v>
      </c>
      <c r="K27" s="56">
        <v>8.51</v>
      </c>
      <c r="L27" s="57">
        <v>28.129</v>
      </c>
      <c r="M27" s="57">
        <v>10.984</v>
      </c>
      <c r="N27" s="57" t="s">
        <v>8</v>
      </c>
      <c r="O27" s="58">
        <v>-0.92</v>
      </c>
      <c r="P27" s="25"/>
      <c r="T27" s="28"/>
      <c r="U27" s="28"/>
      <c r="V27" s="28"/>
      <c r="W27" s="28"/>
      <c r="X27" s="28"/>
      <c r="Y27" s="28"/>
      <c r="AA27" s="30"/>
      <c r="AB27" s="30"/>
      <c r="AC27" s="30"/>
    </row>
    <row r="28">
      <c r="A28" s="47">
        <v>7.899</v>
      </c>
      <c r="B28" s="25">
        <v>-20.16</v>
      </c>
      <c r="C28" s="25">
        <v>-0.742</v>
      </c>
      <c r="D28" s="25" t="s">
        <v>5</v>
      </c>
      <c r="E28" s="48">
        <v>-0.162</v>
      </c>
      <c r="F28" s="47">
        <v>-3.816</v>
      </c>
      <c r="G28" s="25">
        <v>1.288</v>
      </c>
      <c r="H28" s="25">
        <v>-5.295</v>
      </c>
      <c r="I28" s="25" t="s">
        <v>2</v>
      </c>
      <c r="J28" s="48">
        <v>-0.97</v>
      </c>
      <c r="K28" s="56">
        <v>7.386</v>
      </c>
      <c r="L28" s="57">
        <v>-4.014</v>
      </c>
      <c r="M28" s="57">
        <v>13.917</v>
      </c>
      <c r="N28" s="57" t="s">
        <v>11</v>
      </c>
      <c r="O28" s="58">
        <v>-0.918</v>
      </c>
      <c r="P28" s="25"/>
      <c r="T28" s="28"/>
      <c r="U28" s="28"/>
      <c r="V28" s="28"/>
      <c r="W28" s="28"/>
      <c r="X28" s="28"/>
      <c r="Y28" s="28"/>
      <c r="AA28" s="30"/>
      <c r="AB28" s="30"/>
      <c r="AC28" s="30"/>
    </row>
    <row r="29">
      <c r="A29" s="47">
        <v>20.89</v>
      </c>
      <c r="B29" s="25">
        <v>-2.469</v>
      </c>
      <c r="C29" s="25">
        <v>7.984</v>
      </c>
      <c r="D29" s="25" t="s">
        <v>11</v>
      </c>
      <c r="E29" s="48">
        <v>-0.16</v>
      </c>
      <c r="F29" s="47">
        <v>-10.961</v>
      </c>
      <c r="G29" s="25">
        <v>-6.646</v>
      </c>
      <c r="H29" s="25">
        <v>-5.894</v>
      </c>
      <c r="I29" s="25" t="s">
        <v>3</v>
      </c>
      <c r="J29" s="48">
        <v>-0.968</v>
      </c>
      <c r="K29" s="56">
        <v>-11.44</v>
      </c>
      <c r="L29" s="57">
        <v>-24.072</v>
      </c>
      <c r="M29" s="57">
        <v>6.852</v>
      </c>
      <c r="N29" s="57" t="s">
        <v>12</v>
      </c>
      <c r="O29" s="58">
        <v>-0.916</v>
      </c>
      <c r="P29" s="25"/>
      <c r="T29" s="28"/>
      <c r="U29" s="28"/>
      <c r="V29" s="28"/>
      <c r="W29" s="28"/>
      <c r="X29" s="28"/>
      <c r="Y29" s="28"/>
      <c r="AA29" s="30"/>
      <c r="AB29" s="30"/>
      <c r="AC29" s="30"/>
    </row>
    <row r="30">
      <c r="A30" s="47">
        <v>-23.61</v>
      </c>
      <c r="B30" s="25">
        <v>-12.158</v>
      </c>
      <c r="C30" s="25">
        <v>11.691</v>
      </c>
      <c r="D30" s="25" t="s">
        <v>10</v>
      </c>
      <c r="E30" s="48">
        <v>-0.16</v>
      </c>
      <c r="F30" s="47">
        <v>-10.882</v>
      </c>
      <c r="G30" s="25">
        <v>5.794</v>
      </c>
      <c r="H30" s="25">
        <v>20.891</v>
      </c>
      <c r="I30" s="25" t="s">
        <v>13</v>
      </c>
      <c r="J30" s="48">
        <v>-0.966</v>
      </c>
      <c r="K30" s="56">
        <v>-3.854</v>
      </c>
      <c r="L30" s="57">
        <v>18.625</v>
      </c>
      <c r="M30" s="57">
        <v>18.656</v>
      </c>
      <c r="N30" s="57" t="s">
        <v>6</v>
      </c>
      <c r="O30" s="58">
        <v>-0.902</v>
      </c>
      <c r="P30" s="25"/>
      <c r="T30" s="28"/>
      <c r="U30" s="28"/>
      <c r="V30" s="28"/>
      <c r="W30" s="28"/>
      <c r="X30" s="28"/>
      <c r="Y30" s="28"/>
      <c r="AA30" s="30"/>
      <c r="AB30" s="30"/>
      <c r="AC30" s="30"/>
    </row>
    <row r="31">
      <c r="A31" s="47">
        <v>-0.291</v>
      </c>
      <c r="B31" s="25">
        <v>26.518</v>
      </c>
      <c r="C31" s="25">
        <v>34.484</v>
      </c>
      <c r="D31" s="25" t="s">
        <v>10</v>
      </c>
      <c r="E31" s="48">
        <v>-0.16</v>
      </c>
      <c r="F31" s="47">
        <v>6.359</v>
      </c>
      <c r="G31" s="25">
        <v>10.104</v>
      </c>
      <c r="H31" s="25">
        <v>0.261</v>
      </c>
      <c r="I31" s="25" t="s">
        <v>2</v>
      </c>
      <c r="J31" s="48">
        <v>-0.964</v>
      </c>
      <c r="K31" s="47">
        <v>7.591</v>
      </c>
      <c r="L31" s="25">
        <v>-3.876</v>
      </c>
      <c r="M31" s="25">
        <v>14.114</v>
      </c>
      <c r="N31" s="25" t="s">
        <v>6</v>
      </c>
      <c r="O31" s="48">
        <v>-0.894</v>
      </c>
      <c r="T31" s="28"/>
      <c r="U31" s="28"/>
      <c r="V31" s="28"/>
      <c r="W31" s="28"/>
      <c r="X31" s="28"/>
      <c r="Y31" s="28"/>
      <c r="AA31" s="30"/>
      <c r="AB31" s="30"/>
      <c r="AC31" s="30"/>
    </row>
    <row r="32">
      <c r="A32" s="47">
        <v>-17.402</v>
      </c>
      <c r="B32" s="25">
        <v>-28.992</v>
      </c>
      <c r="C32" s="25">
        <v>0.954</v>
      </c>
      <c r="D32" s="25" t="s">
        <v>10</v>
      </c>
      <c r="E32" s="48">
        <v>-0.158</v>
      </c>
      <c r="F32" s="47">
        <v>-0.615</v>
      </c>
      <c r="G32" s="25">
        <v>-12.444</v>
      </c>
      <c r="H32" s="25">
        <v>16.088</v>
      </c>
      <c r="I32" s="25" t="s">
        <v>10</v>
      </c>
      <c r="J32" s="48">
        <v>-0.96</v>
      </c>
      <c r="K32" s="47">
        <v>-13.403</v>
      </c>
      <c r="L32" s="25">
        <v>-8.081</v>
      </c>
      <c r="M32" s="25">
        <v>-0.177</v>
      </c>
      <c r="N32" s="25" t="s">
        <v>21</v>
      </c>
      <c r="O32" s="48">
        <v>-0.892</v>
      </c>
      <c r="T32" s="28"/>
      <c r="U32" s="28"/>
      <c r="V32" s="28"/>
      <c r="W32" s="28"/>
      <c r="X32" s="28"/>
      <c r="Y32" s="28"/>
      <c r="AA32" s="30"/>
      <c r="AB32" s="30"/>
      <c r="AC32" s="30"/>
    </row>
    <row r="33">
      <c r="A33" s="47">
        <v>8.973</v>
      </c>
      <c r="B33" s="25">
        <v>-22.734</v>
      </c>
      <c r="C33" s="25">
        <v>-12.536</v>
      </c>
      <c r="D33" s="25" t="s">
        <v>10</v>
      </c>
      <c r="E33" s="48">
        <v>-0.158</v>
      </c>
      <c r="F33" s="47">
        <v>-17.997</v>
      </c>
      <c r="G33" s="25">
        <v>-8.967</v>
      </c>
      <c r="H33" s="25">
        <v>6.99</v>
      </c>
      <c r="I33" s="25" t="s">
        <v>7</v>
      </c>
      <c r="J33" s="48">
        <v>-0.957</v>
      </c>
      <c r="K33" s="47">
        <v>6.281</v>
      </c>
      <c r="L33" s="25">
        <v>20.518</v>
      </c>
      <c r="M33" s="25">
        <v>10.673</v>
      </c>
      <c r="N33" s="25" t="s">
        <v>12</v>
      </c>
      <c r="O33" s="48">
        <v>-0.881</v>
      </c>
      <c r="T33" s="28"/>
      <c r="U33" s="28"/>
      <c r="V33" s="28"/>
      <c r="W33" s="28"/>
      <c r="X33" s="28"/>
      <c r="Y33" s="28"/>
      <c r="AA33" s="30"/>
      <c r="AB33" s="30"/>
      <c r="AC33" s="30"/>
    </row>
    <row r="34">
      <c r="A34" s="59"/>
      <c r="B34" s="60"/>
      <c r="C34" s="60"/>
      <c r="D34" s="60"/>
      <c r="E34" s="61"/>
      <c r="F34" s="59"/>
      <c r="G34" s="60"/>
      <c r="H34" s="60"/>
      <c r="I34" s="60"/>
      <c r="J34" s="61"/>
      <c r="K34" s="59"/>
      <c r="L34" s="60"/>
      <c r="M34" s="60"/>
      <c r="N34" s="60"/>
      <c r="O34" s="61"/>
      <c r="T34" s="28"/>
      <c r="U34" s="28"/>
      <c r="V34" s="28"/>
      <c r="W34" s="28"/>
      <c r="X34" s="28"/>
      <c r="Y34" s="28"/>
      <c r="AA34" s="30"/>
      <c r="AB34" s="30"/>
      <c r="AC34" s="30"/>
    </row>
    <row r="35">
      <c r="A35" s="13" t="s">
        <v>30</v>
      </c>
      <c r="B35" s="13"/>
      <c r="C35" s="13"/>
      <c r="D35" s="14"/>
      <c r="E35" s="14"/>
      <c r="F35" s="15" t="s">
        <v>31</v>
      </c>
      <c r="G35" s="15"/>
      <c r="H35" s="15"/>
      <c r="I35" s="14"/>
      <c r="J35" s="14"/>
      <c r="K35" s="15" t="s">
        <v>32</v>
      </c>
      <c r="L35" s="15"/>
      <c r="M35" s="15"/>
      <c r="N35" s="14"/>
      <c r="O35" s="14"/>
      <c r="T35" s="28"/>
      <c r="U35" s="28"/>
      <c r="V35" s="28"/>
      <c r="W35" s="28"/>
      <c r="X35" s="28"/>
      <c r="Y35" s="28"/>
      <c r="AA35" s="30"/>
      <c r="AB35" s="30"/>
      <c r="AC35" s="30"/>
    </row>
    <row r="36">
      <c r="A36" s="21" t="s">
        <v>33</v>
      </c>
      <c r="B36" s="22" t="s">
        <v>34</v>
      </c>
      <c r="C36" s="22" t="s">
        <v>35</v>
      </c>
      <c r="D36" s="22" t="s">
        <v>36</v>
      </c>
      <c r="E36" s="23" t="s">
        <v>37</v>
      </c>
      <c r="F36" s="21" t="s">
        <v>33</v>
      </c>
      <c r="G36" s="22" t="s">
        <v>34</v>
      </c>
      <c r="H36" s="22" t="s">
        <v>35</v>
      </c>
      <c r="I36" s="22" t="s">
        <v>36</v>
      </c>
      <c r="J36" s="23" t="s">
        <v>37</v>
      </c>
      <c r="K36" s="21" t="s">
        <v>33</v>
      </c>
      <c r="L36" s="22" t="s">
        <v>34</v>
      </c>
      <c r="M36" s="22" t="s">
        <v>35</v>
      </c>
      <c r="N36" s="22" t="s">
        <v>36</v>
      </c>
      <c r="O36" s="23" t="s">
        <v>37</v>
      </c>
      <c r="T36" s="28"/>
      <c r="U36" s="28"/>
      <c r="V36" s="28"/>
      <c r="W36" s="28"/>
      <c r="X36" s="28"/>
      <c r="Y36" s="28"/>
      <c r="AA36" s="30"/>
      <c r="AB36" s="30"/>
      <c r="AC36" s="30"/>
    </row>
    <row r="37">
      <c r="A37" s="31">
        <v>8.313</v>
      </c>
      <c r="B37" s="32">
        <v>28.377</v>
      </c>
      <c r="C37" s="32">
        <v>11.645</v>
      </c>
      <c r="D37" s="32" t="s">
        <v>8</v>
      </c>
      <c r="E37" s="33">
        <v>-1.148</v>
      </c>
      <c r="F37" s="31">
        <v>-3.394</v>
      </c>
      <c r="G37" s="32">
        <v>18.635</v>
      </c>
      <c r="H37" s="32">
        <v>19.08</v>
      </c>
      <c r="I37" s="32" t="s">
        <v>6</v>
      </c>
      <c r="J37" s="33">
        <v>-1.352</v>
      </c>
      <c r="K37" s="31">
        <v>-5.499</v>
      </c>
      <c r="L37" s="32">
        <v>15.637</v>
      </c>
      <c r="M37" s="32">
        <v>6.211</v>
      </c>
      <c r="N37" s="32" t="s">
        <v>4</v>
      </c>
      <c r="O37" s="33">
        <v>-0.731</v>
      </c>
      <c r="T37" s="28"/>
      <c r="U37" s="28"/>
      <c r="V37" s="28"/>
      <c r="W37" s="28"/>
      <c r="X37" s="28"/>
      <c r="Y37" s="28"/>
      <c r="AA37" s="30"/>
      <c r="AB37" s="30"/>
      <c r="AC37" s="30"/>
    </row>
    <row r="38">
      <c r="A38" s="34">
        <v>-2.381</v>
      </c>
      <c r="B38" s="35">
        <v>7.341</v>
      </c>
      <c r="C38" s="35">
        <v>30.908</v>
      </c>
      <c r="D38" s="35" t="s">
        <v>8</v>
      </c>
      <c r="E38" s="36">
        <v>-1.117</v>
      </c>
      <c r="F38" s="34">
        <v>-12.701</v>
      </c>
      <c r="G38" s="35">
        <v>-26.256</v>
      </c>
      <c r="H38" s="35">
        <v>-4.754</v>
      </c>
      <c r="I38" s="35" t="s">
        <v>2</v>
      </c>
      <c r="J38" s="36">
        <v>-1.352</v>
      </c>
      <c r="K38" s="34">
        <v>14.351</v>
      </c>
      <c r="L38" s="35">
        <v>7.839</v>
      </c>
      <c r="M38" s="35">
        <v>28.124</v>
      </c>
      <c r="N38" s="35" t="s">
        <v>19</v>
      </c>
      <c r="O38" s="36">
        <v>-0.726</v>
      </c>
      <c r="T38" s="28"/>
      <c r="U38" s="28"/>
      <c r="V38" s="28"/>
      <c r="W38" s="28"/>
      <c r="X38" s="28"/>
      <c r="Y38" s="28"/>
      <c r="AA38" s="30"/>
      <c r="AB38" s="30"/>
      <c r="AC38" s="30"/>
    </row>
    <row r="39">
      <c r="A39" s="34">
        <v>-3.764</v>
      </c>
      <c r="B39" s="35">
        <v>8.876</v>
      </c>
      <c r="C39" s="35">
        <v>-2.216</v>
      </c>
      <c r="D39" s="35" t="s">
        <v>15</v>
      </c>
      <c r="E39" s="36">
        <v>-1.105</v>
      </c>
      <c r="F39" s="34">
        <v>1.171</v>
      </c>
      <c r="G39" s="35">
        <v>6.517</v>
      </c>
      <c r="H39" s="35">
        <v>17.723</v>
      </c>
      <c r="I39" s="35" t="s">
        <v>6</v>
      </c>
      <c r="J39" s="36">
        <v>-1.32</v>
      </c>
      <c r="K39" s="34">
        <v>-12.118</v>
      </c>
      <c r="L39" s="35">
        <v>5.4</v>
      </c>
      <c r="M39" s="35">
        <v>16.628</v>
      </c>
      <c r="N39" s="35" t="s">
        <v>15</v>
      </c>
      <c r="O39" s="36">
        <v>-0.719</v>
      </c>
      <c r="T39" s="28"/>
      <c r="U39" s="28"/>
      <c r="V39" s="28"/>
      <c r="W39" s="28"/>
      <c r="X39" s="28"/>
      <c r="Y39" s="28"/>
      <c r="AA39" s="30"/>
      <c r="AB39" s="30"/>
      <c r="AC39" s="30"/>
    </row>
    <row r="40">
      <c r="A40" s="34">
        <v>-5.91</v>
      </c>
      <c r="B40" s="35">
        <v>9.104</v>
      </c>
      <c r="C40" s="35">
        <v>2.475</v>
      </c>
      <c r="D40" s="35" t="s">
        <v>5</v>
      </c>
      <c r="E40" s="36">
        <v>-1.091</v>
      </c>
      <c r="F40" s="34">
        <v>1.077</v>
      </c>
      <c r="G40" s="35">
        <v>7.112</v>
      </c>
      <c r="H40" s="35">
        <v>17.859</v>
      </c>
      <c r="I40" s="35" t="s">
        <v>3</v>
      </c>
      <c r="J40" s="36">
        <v>-1.312</v>
      </c>
      <c r="K40" s="34">
        <v>-21.412</v>
      </c>
      <c r="L40" s="35">
        <v>-4.542</v>
      </c>
      <c r="M40" s="35">
        <v>1.001</v>
      </c>
      <c r="N40" s="35" t="s">
        <v>9</v>
      </c>
      <c r="O40" s="36">
        <v>-0.701</v>
      </c>
      <c r="T40" s="28"/>
      <c r="U40" s="28"/>
      <c r="V40" s="28"/>
      <c r="W40" s="28"/>
      <c r="X40" s="28"/>
      <c r="Y40" s="28"/>
      <c r="AA40" s="30"/>
      <c r="AB40" s="30"/>
      <c r="AC40" s="30"/>
    </row>
    <row r="41">
      <c r="A41" s="34">
        <v>-19.132</v>
      </c>
      <c r="B41" s="35">
        <v>12.637</v>
      </c>
      <c r="C41" s="35">
        <v>24.675</v>
      </c>
      <c r="D41" s="35" t="s">
        <v>8</v>
      </c>
      <c r="E41" s="36">
        <v>-1.089</v>
      </c>
      <c r="F41" s="34">
        <v>10.794</v>
      </c>
      <c r="G41" s="35">
        <v>11.67</v>
      </c>
      <c r="H41" s="35">
        <v>9.364</v>
      </c>
      <c r="I41" s="35" t="s">
        <v>3</v>
      </c>
      <c r="J41" s="36">
        <v>-1.308</v>
      </c>
      <c r="K41" s="34">
        <v>-2.309</v>
      </c>
      <c r="L41" s="35">
        <v>11.208</v>
      </c>
      <c r="M41" s="35">
        <v>6.712</v>
      </c>
      <c r="N41" s="35" t="s">
        <v>7</v>
      </c>
      <c r="O41" s="36">
        <v>-0.698</v>
      </c>
      <c r="T41" s="28"/>
      <c r="U41" s="28"/>
      <c r="V41" s="28"/>
      <c r="W41" s="28"/>
      <c r="X41" s="28"/>
      <c r="Y41" s="28"/>
      <c r="AA41" s="30"/>
      <c r="AB41" s="30"/>
      <c r="AC41" s="30"/>
    </row>
    <row r="42">
      <c r="A42" s="34">
        <v>18.188</v>
      </c>
      <c r="B42" s="35">
        <v>12.989</v>
      </c>
      <c r="C42" s="35">
        <v>23.367</v>
      </c>
      <c r="D42" s="35" t="s">
        <v>8</v>
      </c>
      <c r="E42" s="36">
        <v>-1.055</v>
      </c>
      <c r="F42" s="34">
        <v>7.386</v>
      </c>
      <c r="G42" s="35">
        <v>-4.014</v>
      </c>
      <c r="H42" s="35">
        <v>13.917</v>
      </c>
      <c r="I42" s="35" t="s">
        <v>11</v>
      </c>
      <c r="J42" s="36">
        <v>-1.294</v>
      </c>
      <c r="K42" s="34">
        <v>11.393</v>
      </c>
      <c r="L42" s="35">
        <v>12.017</v>
      </c>
      <c r="M42" s="35">
        <v>9.237</v>
      </c>
      <c r="N42" s="35" t="s">
        <v>9</v>
      </c>
      <c r="O42" s="36">
        <v>-0.697</v>
      </c>
      <c r="T42" s="28"/>
      <c r="U42" s="28"/>
      <c r="V42" s="28"/>
      <c r="W42" s="28"/>
      <c r="X42" s="28"/>
      <c r="Y42" s="28"/>
      <c r="AA42" s="30"/>
      <c r="AB42" s="30"/>
      <c r="AC42" s="30"/>
    </row>
    <row r="43">
      <c r="A43" s="34">
        <v>-12.222</v>
      </c>
      <c r="B43" s="35">
        <v>-26.659</v>
      </c>
      <c r="C43" s="35">
        <v>-6.01</v>
      </c>
      <c r="D43" s="35" t="s">
        <v>2</v>
      </c>
      <c r="E43" s="36">
        <v>-1.045</v>
      </c>
      <c r="F43" s="34">
        <v>-11.619</v>
      </c>
      <c r="G43" s="35">
        <v>5.932</v>
      </c>
      <c r="H43" s="35">
        <v>14.597</v>
      </c>
      <c r="I43" s="35" t="s">
        <v>15</v>
      </c>
      <c r="J43" s="36">
        <v>-1.289</v>
      </c>
      <c r="K43" s="34">
        <v>-7.888</v>
      </c>
      <c r="L43" s="35">
        <v>7.097</v>
      </c>
      <c r="M43" s="35">
        <v>-17.547</v>
      </c>
      <c r="N43" s="35" t="s">
        <v>7</v>
      </c>
      <c r="O43" s="36">
        <v>-0.693</v>
      </c>
      <c r="T43" s="28"/>
      <c r="U43" s="28"/>
      <c r="V43" s="28"/>
      <c r="W43" s="28"/>
      <c r="X43" s="28"/>
      <c r="Y43" s="28"/>
      <c r="AA43" s="30"/>
      <c r="AB43" s="30"/>
      <c r="AC43" s="30"/>
    </row>
    <row r="44">
      <c r="A44" s="39">
        <v>-1.89</v>
      </c>
      <c r="B44" s="40">
        <v>7.602</v>
      </c>
      <c r="C44" s="40">
        <v>-30.469</v>
      </c>
      <c r="D44" s="41" t="s">
        <v>15</v>
      </c>
      <c r="E44" s="42">
        <v>-0.995</v>
      </c>
      <c r="F44" s="34">
        <v>11.121</v>
      </c>
      <c r="G44" s="35">
        <v>11.964</v>
      </c>
      <c r="H44" s="35">
        <v>9.485</v>
      </c>
      <c r="I44" s="35" t="s">
        <v>18</v>
      </c>
      <c r="J44" s="36">
        <v>-1.284</v>
      </c>
      <c r="K44" s="34">
        <v>-16.167</v>
      </c>
      <c r="L44" s="35">
        <v>-21.605</v>
      </c>
      <c r="M44" s="35">
        <v>-7.074</v>
      </c>
      <c r="N44" s="35" t="s">
        <v>7</v>
      </c>
      <c r="O44" s="36">
        <v>-0.693</v>
      </c>
      <c r="T44" s="28"/>
      <c r="U44" s="28"/>
      <c r="V44" s="28"/>
      <c r="W44" s="28"/>
      <c r="X44" s="28"/>
      <c r="Y44" s="28"/>
      <c r="AA44" s="30"/>
      <c r="AB44" s="30"/>
      <c r="AC44" s="30"/>
    </row>
    <row r="45">
      <c r="A45" s="39">
        <v>1.396</v>
      </c>
      <c r="B45" s="40">
        <v>15.628</v>
      </c>
      <c r="C45" s="40">
        <v>-19.536</v>
      </c>
      <c r="D45" s="41" t="s">
        <v>8</v>
      </c>
      <c r="E45" s="42">
        <v>-0.993</v>
      </c>
      <c r="F45" s="34">
        <v>-3.25</v>
      </c>
      <c r="G45" s="35">
        <v>18.644</v>
      </c>
      <c r="H45" s="35">
        <v>18.761</v>
      </c>
      <c r="I45" s="35" t="s">
        <v>3</v>
      </c>
      <c r="J45" s="36">
        <v>-1.276</v>
      </c>
      <c r="K45" s="34">
        <v>1.158</v>
      </c>
      <c r="L45" s="35">
        <v>11.964</v>
      </c>
      <c r="M45" s="35">
        <v>-25.154</v>
      </c>
      <c r="N45" s="35" t="s">
        <v>9</v>
      </c>
      <c r="O45" s="36">
        <v>-0.689</v>
      </c>
      <c r="T45" s="28"/>
      <c r="U45" s="28"/>
      <c r="V45" s="28"/>
      <c r="W45" s="28"/>
      <c r="X45" s="28"/>
      <c r="Y45" s="28"/>
      <c r="AA45" s="30"/>
      <c r="AB45" s="30"/>
      <c r="AC45" s="30"/>
    </row>
    <row r="46">
      <c r="A46" s="39">
        <v>-3.854</v>
      </c>
      <c r="B46" s="40">
        <v>18.625</v>
      </c>
      <c r="C46" s="40">
        <v>18.656</v>
      </c>
      <c r="D46" s="41" t="s">
        <v>6</v>
      </c>
      <c r="E46" s="42">
        <v>-0.985</v>
      </c>
      <c r="F46" s="34">
        <v>-3.764</v>
      </c>
      <c r="G46" s="35">
        <v>8.876</v>
      </c>
      <c r="H46" s="35">
        <v>-2.216</v>
      </c>
      <c r="I46" s="35" t="s">
        <v>15</v>
      </c>
      <c r="J46" s="36">
        <v>-1.275</v>
      </c>
      <c r="K46" s="34">
        <v>10.947</v>
      </c>
      <c r="L46" s="35">
        <v>12.677</v>
      </c>
      <c r="M46" s="35">
        <v>8.67</v>
      </c>
      <c r="N46" s="35" t="s">
        <v>18</v>
      </c>
      <c r="O46" s="36">
        <v>-0.687</v>
      </c>
      <c r="T46" s="28"/>
      <c r="U46" s="28"/>
      <c r="V46" s="28"/>
      <c r="W46" s="28"/>
      <c r="X46" s="28"/>
      <c r="Y46" s="28"/>
      <c r="AA46" s="30"/>
      <c r="AB46" s="30"/>
      <c r="AC46" s="30"/>
    </row>
    <row r="47">
      <c r="A47" s="43">
        <v>-3.25</v>
      </c>
      <c r="B47" s="44">
        <v>18.644</v>
      </c>
      <c r="C47" s="44">
        <v>18.761</v>
      </c>
      <c r="D47" s="45" t="s">
        <v>3</v>
      </c>
      <c r="E47" s="46">
        <v>-0.982</v>
      </c>
      <c r="F47" s="47">
        <v>7.591</v>
      </c>
      <c r="G47" s="25">
        <v>-3.876</v>
      </c>
      <c r="H47" s="25">
        <v>14.114</v>
      </c>
      <c r="I47" s="25" t="s">
        <v>6</v>
      </c>
      <c r="J47" s="48">
        <v>-1.275</v>
      </c>
      <c r="K47" s="47">
        <v>3.665</v>
      </c>
      <c r="L47" s="25">
        <v>26.442</v>
      </c>
      <c r="M47" s="25">
        <v>18.799</v>
      </c>
      <c r="N47" s="25" t="s">
        <v>2</v>
      </c>
      <c r="O47" s="48">
        <v>-0.687</v>
      </c>
      <c r="T47" s="28"/>
      <c r="U47" s="28"/>
      <c r="V47" s="28"/>
      <c r="W47" s="28"/>
      <c r="X47" s="28"/>
      <c r="Y47" s="28"/>
      <c r="AA47" s="30"/>
      <c r="AB47" s="30"/>
      <c r="AC47" s="30"/>
    </row>
    <row r="48">
      <c r="A48" s="43">
        <v>1.077</v>
      </c>
      <c r="B48" s="44">
        <v>7.112</v>
      </c>
      <c r="C48" s="44">
        <v>17.859</v>
      </c>
      <c r="D48" s="45" t="s">
        <v>3</v>
      </c>
      <c r="E48" s="46">
        <v>-0.972</v>
      </c>
      <c r="F48" s="47">
        <v>6.887</v>
      </c>
      <c r="G48" s="25">
        <v>4.296</v>
      </c>
      <c r="H48" s="25">
        <v>23.019</v>
      </c>
      <c r="I48" s="25" t="s">
        <v>2</v>
      </c>
      <c r="J48" s="48">
        <v>-1.267</v>
      </c>
      <c r="K48" s="47">
        <v>-16.45</v>
      </c>
      <c r="L48" s="25">
        <v>-0.842</v>
      </c>
      <c r="M48" s="25">
        <v>1.877</v>
      </c>
      <c r="N48" s="25" t="s">
        <v>21</v>
      </c>
      <c r="O48" s="48">
        <v>-0.683</v>
      </c>
      <c r="T48" s="28"/>
      <c r="U48" s="28"/>
      <c r="V48" s="28"/>
      <c r="W48" s="28"/>
      <c r="X48" s="28"/>
      <c r="Y48" s="28"/>
      <c r="AA48" s="30"/>
      <c r="AB48" s="30"/>
      <c r="AC48" s="30"/>
    </row>
    <row r="49">
      <c r="A49" s="47">
        <v>1.171</v>
      </c>
      <c r="B49" s="25">
        <v>6.517</v>
      </c>
      <c r="C49" s="25">
        <v>17.723</v>
      </c>
      <c r="D49" s="25" t="s">
        <v>6</v>
      </c>
      <c r="E49" s="48">
        <v>-0.967</v>
      </c>
      <c r="F49" s="47">
        <v>-7.461</v>
      </c>
      <c r="G49" s="25">
        <v>28.044</v>
      </c>
      <c r="H49" s="25">
        <v>18.885</v>
      </c>
      <c r="I49" s="25" t="s">
        <v>8</v>
      </c>
      <c r="J49" s="48">
        <v>-1.261</v>
      </c>
      <c r="K49" s="51">
        <v>1.396</v>
      </c>
      <c r="L49" s="52">
        <v>15.628</v>
      </c>
      <c r="M49" s="52">
        <v>-19.536</v>
      </c>
      <c r="N49" s="62" t="s">
        <v>8</v>
      </c>
      <c r="O49" s="63">
        <v>-0.679</v>
      </c>
      <c r="T49" s="28"/>
      <c r="U49" s="28"/>
      <c r="V49" s="28"/>
      <c r="W49" s="28"/>
      <c r="X49" s="28"/>
      <c r="Y49" s="28"/>
      <c r="AA49" s="30"/>
      <c r="AB49" s="30"/>
      <c r="AC49" s="30"/>
    </row>
    <row r="50">
      <c r="A50" s="47">
        <v>11.437</v>
      </c>
      <c r="B50" s="25">
        <v>11.755</v>
      </c>
      <c r="C50" s="25">
        <v>9.482</v>
      </c>
      <c r="D50" s="25" t="s">
        <v>3</v>
      </c>
      <c r="E50" s="48">
        <v>-0.963</v>
      </c>
      <c r="F50" s="47">
        <v>10.989</v>
      </c>
      <c r="G50" s="25">
        <v>10.892</v>
      </c>
      <c r="H50" s="25">
        <v>8.688</v>
      </c>
      <c r="I50" s="25" t="s">
        <v>7</v>
      </c>
      <c r="J50" s="48">
        <v>-1.253</v>
      </c>
      <c r="K50" s="47">
        <v>-13.182</v>
      </c>
      <c r="L50" s="25">
        <v>12.644</v>
      </c>
      <c r="M50" s="25">
        <v>29.619</v>
      </c>
      <c r="N50" s="25" t="s">
        <v>9</v>
      </c>
      <c r="O50" s="48">
        <v>-0.677</v>
      </c>
      <c r="T50" s="28"/>
      <c r="U50" s="28"/>
      <c r="V50" s="28"/>
      <c r="W50" s="28"/>
      <c r="X50" s="28"/>
      <c r="Y50" s="28"/>
      <c r="AA50" s="30"/>
      <c r="AB50" s="30"/>
      <c r="AC50" s="30"/>
    </row>
    <row r="51">
      <c r="A51" s="47">
        <v>7.386</v>
      </c>
      <c r="B51" s="25">
        <v>-4.014</v>
      </c>
      <c r="C51" s="25">
        <v>13.917</v>
      </c>
      <c r="D51" s="25" t="s">
        <v>11</v>
      </c>
      <c r="E51" s="48">
        <v>-0.958</v>
      </c>
      <c r="F51" s="47">
        <v>-11.599</v>
      </c>
      <c r="G51" s="25">
        <v>-27.081</v>
      </c>
      <c r="H51" s="25">
        <v>-6.854</v>
      </c>
      <c r="I51" s="25" t="s">
        <v>4</v>
      </c>
      <c r="J51" s="48">
        <v>-1.253</v>
      </c>
      <c r="K51" s="47">
        <v>3.291</v>
      </c>
      <c r="L51" s="25">
        <v>26.54</v>
      </c>
      <c r="M51" s="25">
        <v>18.882</v>
      </c>
      <c r="N51" s="25" t="s">
        <v>16</v>
      </c>
      <c r="O51" s="48">
        <v>-0.675</v>
      </c>
      <c r="T51" s="28"/>
      <c r="U51" s="28"/>
      <c r="V51" s="28"/>
      <c r="W51" s="28"/>
      <c r="X51" s="28"/>
      <c r="Y51" s="28"/>
      <c r="AA51" s="30"/>
      <c r="AB51" s="30"/>
      <c r="AC51" s="30"/>
    </row>
    <row r="52">
      <c r="A52" s="47">
        <v>3.665</v>
      </c>
      <c r="B52" s="25">
        <v>26.442</v>
      </c>
      <c r="C52" s="25">
        <v>18.799</v>
      </c>
      <c r="D52" s="25" t="s">
        <v>2</v>
      </c>
      <c r="E52" s="48">
        <v>-0.955</v>
      </c>
      <c r="F52" s="47">
        <v>6.906</v>
      </c>
      <c r="G52" s="25">
        <v>4.648</v>
      </c>
      <c r="H52" s="25">
        <v>22.708</v>
      </c>
      <c r="I52" s="25" t="s">
        <v>7</v>
      </c>
      <c r="J52" s="48">
        <v>-1.248</v>
      </c>
      <c r="K52" s="47">
        <v>3.821</v>
      </c>
      <c r="L52" s="25">
        <v>6.368</v>
      </c>
      <c r="M52" s="25">
        <v>10.637</v>
      </c>
      <c r="N52" s="25" t="s">
        <v>6</v>
      </c>
      <c r="O52" s="48">
        <v>-0.659</v>
      </c>
      <c r="T52" s="28"/>
      <c r="U52" s="28"/>
      <c r="V52" s="28"/>
      <c r="W52" s="28"/>
      <c r="X52" s="28"/>
      <c r="Y52" s="28"/>
      <c r="AA52" s="30"/>
      <c r="AB52" s="30"/>
      <c r="AC52" s="30"/>
    </row>
    <row r="53">
      <c r="A53" s="47">
        <v>-7.121</v>
      </c>
      <c r="B53" s="25">
        <v>-17.026</v>
      </c>
      <c r="C53" s="25">
        <v>-12.696</v>
      </c>
      <c r="D53" s="25" t="s">
        <v>3</v>
      </c>
      <c r="E53" s="48">
        <v>-0.954</v>
      </c>
      <c r="F53" s="47">
        <v>11.48</v>
      </c>
      <c r="G53" s="25">
        <v>11.049</v>
      </c>
      <c r="H53" s="25">
        <v>8.709</v>
      </c>
      <c r="I53" s="25" t="s">
        <v>9</v>
      </c>
      <c r="J53" s="48">
        <v>-1.246</v>
      </c>
      <c r="K53" s="47">
        <v>10.331</v>
      </c>
      <c r="L53" s="25">
        <v>-5.793</v>
      </c>
      <c r="M53" s="25">
        <v>-6.255</v>
      </c>
      <c r="N53" s="25" t="s">
        <v>5</v>
      </c>
      <c r="O53" s="48">
        <v>-0.658</v>
      </c>
      <c r="T53" s="28"/>
      <c r="U53" s="28"/>
      <c r="V53" s="28"/>
      <c r="W53" s="28"/>
      <c r="X53" s="28"/>
      <c r="Y53" s="28"/>
      <c r="AA53" s="30"/>
      <c r="AB53" s="30"/>
      <c r="AC53" s="30"/>
    </row>
    <row r="54">
      <c r="A54" s="47">
        <v>21.001</v>
      </c>
      <c r="B54" s="25">
        <v>-6.438</v>
      </c>
      <c r="C54" s="25">
        <v>16.886</v>
      </c>
      <c r="D54" s="25" t="s">
        <v>5</v>
      </c>
      <c r="E54" s="48">
        <v>-0.952</v>
      </c>
      <c r="F54" s="47">
        <v>-12.495</v>
      </c>
      <c r="G54" s="25">
        <v>-26.273</v>
      </c>
      <c r="H54" s="25">
        <v>-6.628</v>
      </c>
      <c r="I54" s="25" t="s">
        <v>7</v>
      </c>
      <c r="J54" s="48">
        <v>-1.243</v>
      </c>
      <c r="K54" s="47">
        <v>0.078</v>
      </c>
      <c r="L54" s="25">
        <v>-22.984</v>
      </c>
      <c r="M54" s="25">
        <v>-13.508</v>
      </c>
      <c r="N54" s="25" t="s">
        <v>7</v>
      </c>
      <c r="O54" s="48">
        <v>-0.647</v>
      </c>
      <c r="T54" s="28"/>
      <c r="U54" s="28"/>
      <c r="V54" s="28"/>
      <c r="W54" s="28"/>
      <c r="X54" s="28"/>
      <c r="Y54" s="28"/>
      <c r="AA54" s="30"/>
      <c r="AB54" s="30"/>
      <c r="AC54" s="30"/>
    </row>
    <row r="55">
      <c r="A55" s="47">
        <v>-13.182</v>
      </c>
      <c r="B55" s="25">
        <v>12.644</v>
      </c>
      <c r="C55" s="25">
        <v>29.619</v>
      </c>
      <c r="D55" s="25" t="s">
        <v>9</v>
      </c>
      <c r="E55" s="48">
        <v>-0.952</v>
      </c>
      <c r="F55" s="47">
        <v>-4.397</v>
      </c>
      <c r="G55" s="25">
        <v>8.011</v>
      </c>
      <c r="H55" s="25">
        <v>-1.723</v>
      </c>
      <c r="I55" s="25" t="s">
        <v>4</v>
      </c>
      <c r="J55" s="48">
        <v>-1.239</v>
      </c>
      <c r="K55" s="47">
        <v>11.437</v>
      </c>
      <c r="L55" s="25">
        <v>11.755</v>
      </c>
      <c r="M55" s="25">
        <v>9.482</v>
      </c>
      <c r="N55" s="25" t="s">
        <v>3</v>
      </c>
      <c r="O55" s="48">
        <v>-0.646</v>
      </c>
      <c r="T55" s="28"/>
      <c r="U55" s="28"/>
      <c r="V55" s="28"/>
      <c r="W55" s="28"/>
      <c r="X55" s="28"/>
      <c r="Y55" s="28"/>
      <c r="AA55" s="30"/>
      <c r="AB55" s="30"/>
      <c r="AC55" s="30"/>
    </row>
    <row r="56">
      <c r="A56" s="47">
        <v>-7.461</v>
      </c>
      <c r="B56" s="25">
        <v>28.044</v>
      </c>
      <c r="C56" s="25">
        <v>18.885</v>
      </c>
      <c r="D56" s="25" t="s">
        <v>8</v>
      </c>
      <c r="E56" s="48">
        <v>-0.949</v>
      </c>
      <c r="F56" s="47">
        <v>-3.493</v>
      </c>
      <c r="G56" s="25">
        <v>11.262</v>
      </c>
      <c r="H56" s="25">
        <v>5.901</v>
      </c>
      <c r="I56" s="25" t="s">
        <v>7</v>
      </c>
      <c r="J56" s="48">
        <v>-1.238</v>
      </c>
      <c r="K56" s="47">
        <v>11.277</v>
      </c>
      <c r="L56" s="25">
        <v>-14.699</v>
      </c>
      <c r="M56" s="25">
        <v>1.665</v>
      </c>
      <c r="N56" s="25" t="s">
        <v>14</v>
      </c>
      <c r="O56" s="48">
        <v>-0.646</v>
      </c>
      <c r="T56" s="28"/>
      <c r="U56" s="28"/>
      <c r="V56" s="28"/>
      <c r="W56" s="28"/>
      <c r="X56" s="28"/>
      <c r="Y56" s="28"/>
      <c r="AA56" s="30"/>
      <c r="AB56" s="30"/>
      <c r="AC56" s="30"/>
    </row>
    <row r="57">
      <c r="A57" s="47">
        <v>-3.563</v>
      </c>
      <c r="B57" s="25">
        <v>0.967</v>
      </c>
      <c r="C57" s="25">
        <v>-5.178</v>
      </c>
      <c r="D57" s="25" t="s">
        <v>4</v>
      </c>
      <c r="E57" s="48">
        <v>-0.947</v>
      </c>
      <c r="F57" s="47">
        <v>-7.121</v>
      </c>
      <c r="G57" s="25">
        <v>-17.026</v>
      </c>
      <c r="H57" s="25">
        <v>-12.696</v>
      </c>
      <c r="I57" s="25" t="s">
        <v>3</v>
      </c>
      <c r="J57" s="48">
        <v>-1.237</v>
      </c>
      <c r="K57" s="47">
        <v>8.584</v>
      </c>
      <c r="L57" s="25">
        <v>10.035</v>
      </c>
      <c r="M57" s="25">
        <v>5.812</v>
      </c>
      <c r="N57" s="25" t="s">
        <v>7</v>
      </c>
      <c r="O57" s="48">
        <v>-0.641</v>
      </c>
      <c r="T57" s="28"/>
      <c r="U57" s="28"/>
      <c r="V57" s="28"/>
      <c r="W57" s="28"/>
      <c r="X57" s="28"/>
      <c r="Y57" s="28"/>
      <c r="AA57" s="30"/>
      <c r="AB57" s="30"/>
      <c r="AC57" s="30"/>
    </row>
    <row r="58">
      <c r="A58" s="47">
        <v>4.738</v>
      </c>
      <c r="B58" s="25">
        <v>11.821</v>
      </c>
      <c r="C58" s="25">
        <v>-1.429</v>
      </c>
      <c r="D58" s="25" t="s">
        <v>16</v>
      </c>
      <c r="E58" s="48">
        <v>-0.946</v>
      </c>
      <c r="F58" s="47">
        <v>-17.115</v>
      </c>
      <c r="G58" s="25">
        <v>-8.462</v>
      </c>
      <c r="H58" s="25">
        <v>6.89</v>
      </c>
      <c r="I58" s="25" t="s">
        <v>7</v>
      </c>
      <c r="J58" s="48">
        <v>-1.231</v>
      </c>
      <c r="K58" s="47">
        <v>1.793</v>
      </c>
      <c r="L58" s="25">
        <v>-12.347</v>
      </c>
      <c r="M58" s="25">
        <v>-14.328</v>
      </c>
      <c r="N58" s="25" t="s">
        <v>8</v>
      </c>
      <c r="O58" s="48">
        <v>-0.641</v>
      </c>
      <c r="T58" s="28"/>
      <c r="U58" s="28"/>
      <c r="V58" s="28"/>
      <c r="W58" s="28"/>
      <c r="X58" s="28"/>
      <c r="Y58" s="28"/>
      <c r="AA58" s="30"/>
      <c r="AB58" s="30"/>
      <c r="AC58" s="30"/>
    </row>
    <row r="59">
      <c r="A59" s="47">
        <v>-11.599</v>
      </c>
      <c r="B59" s="25">
        <v>-27.081</v>
      </c>
      <c r="C59" s="25">
        <v>-6.854</v>
      </c>
      <c r="D59" s="25" t="s">
        <v>4</v>
      </c>
      <c r="E59" s="48">
        <v>-0.945</v>
      </c>
      <c r="F59" s="47">
        <v>8.056</v>
      </c>
      <c r="G59" s="25">
        <v>-2.895</v>
      </c>
      <c r="H59" s="25">
        <v>14.264</v>
      </c>
      <c r="I59" s="25" t="s">
        <v>13</v>
      </c>
      <c r="J59" s="48">
        <v>-1.227</v>
      </c>
      <c r="K59" s="56">
        <v>16.637</v>
      </c>
      <c r="L59" s="57">
        <v>7.765</v>
      </c>
      <c r="M59" s="57">
        <v>1.959</v>
      </c>
      <c r="N59" s="57" t="s">
        <v>10</v>
      </c>
      <c r="O59" s="58">
        <v>-0.637</v>
      </c>
      <c r="T59" s="28"/>
      <c r="U59" s="28"/>
      <c r="V59" s="28"/>
      <c r="W59" s="28"/>
      <c r="X59" s="28"/>
      <c r="Y59" s="28"/>
      <c r="AA59" s="30"/>
      <c r="AB59" s="30"/>
      <c r="AC59" s="30"/>
    </row>
    <row r="60">
      <c r="A60" s="47">
        <v>3.291</v>
      </c>
      <c r="B60" s="25">
        <v>26.54</v>
      </c>
      <c r="C60" s="25">
        <v>18.882</v>
      </c>
      <c r="D60" s="25" t="s">
        <v>16</v>
      </c>
      <c r="E60" s="48">
        <v>-0.945</v>
      </c>
      <c r="F60" s="47">
        <v>-5.831</v>
      </c>
      <c r="G60" s="25">
        <v>9.926</v>
      </c>
      <c r="H60" s="25">
        <v>3.636</v>
      </c>
      <c r="I60" s="25" t="s">
        <v>4</v>
      </c>
      <c r="J60" s="48">
        <v>-1.222</v>
      </c>
      <c r="K60" s="56">
        <v>7.591</v>
      </c>
      <c r="L60" s="57">
        <v>-3.876</v>
      </c>
      <c r="M60" s="57">
        <v>14.114</v>
      </c>
      <c r="N60" s="57" t="s">
        <v>6</v>
      </c>
      <c r="O60" s="58">
        <v>-0.637</v>
      </c>
      <c r="T60" s="28"/>
      <c r="U60" s="28"/>
      <c r="V60" s="28"/>
      <c r="W60" s="28"/>
      <c r="X60" s="28"/>
      <c r="Y60" s="28"/>
      <c r="AA60" s="30"/>
      <c r="AB60" s="30"/>
      <c r="AC60" s="30"/>
    </row>
    <row r="61">
      <c r="A61" s="47">
        <v>10.27</v>
      </c>
      <c r="B61" s="25">
        <v>11.937</v>
      </c>
      <c r="C61" s="25">
        <v>9.445</v>
      </c>
      <c r="D61" s="25" t="s">
        <v>18</v>
      </c>
      <c r="E61" s="48">
        <v>-0.943</v>
      </c>
      <c r="F61" s="47">
        <v>-11.44</v>
      </c>
      <c r="G61" s="25">
        <v>-24.072</v>
      </c>
      <c r="H61" s="25">
        <v>6.852</v>
      </c>
      <c r="I61" s="25" t="s">
        <v>12</v>
      </c>
      <c r="J61" s="48">
        <v>-1.221</v>
      </c>
      <c r="K61" s="56">
        <v>-3.322</v>
      </c>
      <c r="L61" s="57">
        <v>1.121</v>
      </c>
      <c r="M61" s="57">
        <v>-4.888</v>
      </c>
      <c r="N61" s="57" t="s">
        <v>4</v>
      </c>
      <c r="O61" s="58">
        <v>-0.637</v>
      </c>
      <c r="T61" s="28"/>
      <c r="U61" s="28"/>
      <c r="V61" s="28"/>
      <c r="W61" s="28"/>
      <c r="X61" s="28"/>
      <c r="Y61" s="28"/>
      <c r="AA61" s="30"/>
      <c r="AB61" s="30"/>
      <c r="AC61" s="30"/>
    </row>
    <row r="62">
      <c r="A62" s="47">
        <v>7.591</v>
      </c>
      <c r="B62" s="25">
        <v>-3.876</v>
      </c>
      <c r="C62" s="25">
        <v>14.114</v>
      </c>
      <c r="D62" s="25" t="s">
        <v>6</v>
      </c>
      <c r="E62" s="48">
        <v>-0.943</v>
      </c>
      <c r="F62" s="47">
        <v>-7.655</v>
      </c>
      <c r="G62" s="25">
        <v>-17.168</v>
      </c>
      <c r="H62" s="25">
        <v>-12.495</v>
      </c>
      <c r="I62" s="25" t="s">
        <v>6</v>
      </c>
      <c r="J62" s="48">
        <v>-1.22</v>
      </c>
      <c r="K62" s="56">
        <v>8.056</v>
      </c>
      <c r="L62" s="57">
        <v>-2.895</v>
      </c>
      <c r="M62" s="57">
        <v>14.264</v>
      </c>
      <c r="N62" s="57" t="s">
        <v>13</v>
      </c>
      <c r="O62" s="58">
        <v>-0.623</v>
      </c>
      <c r="T62" s="28"/>
      <c r="U62" s="28"/>
      <c r="V62" s="28"/>
      <c r="W62" s="28"/>
      <c r="X62" s="28"/>
      <c r="Y62" s="28"/>
      <c r="AA62" s="30"/>
      <c r="AB62" s="30"/>
      <c r="AC62" s="30"/>
    </row>
    <row r="63">
      <c r="A63" s="47">
        <v>6.236</v>
      </c>
      <c r="B63" s="25">
        <v>11.762</v>
      </c>
      <c r="C63" s="25">
        <v>-0.941</v>
      </c>
      <c r="D63" s="25" t="s">
        <v>4</v>
      </c>
      <c r="E63" s="48">
        <v>-0.936</v>
      </c>
      <c r="F63" s="47">
        <v>-18.374</v>
      </c>
      <c r="G63" s="25">
        <v>17.137</v>
      </c>
      <c r="H63" s="25">
        <v>21.763</v>
      </c>
      <c r="I63" s="25" t="s">
        <v>18</v>
      </c>
      <c r="J63" s="48">
        <v>-1.213</v>
      </c>
      <c r="K63" s="47">
        <v>-17.734</v>
      </c>
      <c r="L63" s="25">
        <v>4.921</v>
      </c>
      <c r="M63" s="25">
        <v>0.575</v>
      </c>
      <c r="N63" s="25" t="s">
        <v>3</v>
      </c>
      <c r="O63" s="48">
        <v>-0.621</v>
      </c>
      <c r="T63" s="28"/>
      <c r="U63" s="28"/>
      <c r="V63" s="28"/>
      <c r="W63" s="28"/>
      <c r="X63" s="28"/>
      <c r="Y63" s="28"/>
      <c r="AA63" s="30"/>
      <c r="AB63" s="30"/>
      <c r="AC63" s="30"/>
    </row>
    <row r="64">
      <c r="A64" s="47">
        <v>-7.655</v>
      </c>
      <c r="B64" s="25">
        <v>-17.168</v>
      </c>
      <c r="C64" s="25">
        <v>-12.495</v>
      </c>
      <c r="D64" s="25" t="s">
        <v>6</v>
      </c>
      <c r="E64" s="48">
        <v>-0.935</v>
      </c>
      <c r="F64" s="47">
        <v>-1.992</v>
      </c>
      <c r="G64" s="25">
        <v>-12.253</v>
      </c>
      <c r="H64" s="25">
        <v>-1.273</v>
      </c>
      <c r="I64" s="25" t="s">
        <v>6</v>
      </c>
      <c r="J64" s="48">
        <v>-1.211</v>
      </c>
      <c r="K64" s="47">
        <v>-1.414</v>
      </c>
      <c r="L64" s="25">
        <v>4.912</v>
      </c>
      <c r="M64" s="25">
        <v>2.802</v>
      </c>
      <c r="N64" s="25" t="s">
        <v>20</v>
      </c>
      <c r="O64" s="48">
        <v>-0.62</v>
      </c>
      <c r="T64" s="28"/>
      <c r="U64" s="28"/>
      <c r="V64" s="28"/>
      <c r="W64" s="28"/>
      <c r="X64" s="28"/>
      <c r="Y64" s="28"/>
      <c r="AA64" s="30"/>
      <c r="AB64" s="30"/>
      <c r="AC64" s="30"/>
    </row>
    <row r="65">
      <c r="A65" s="47">
        <v>5.896</v>
      </c>
      <c r="B65" s="25">
        <v>24.119</v>
      </c>
      <c r="C65" s="25">
        <v>28.031</v>
      </c>
      <c r="D65" s="25" t="s">
        <v>8</v>
      </c>
      <c r="E65" s="48">
        <v>-0.935</v>
      </c>
      <c r="F65" s="47">
        <v>-15.033</v>
      </c>
      <c r="G65" s="25">
        <v>-6.089</v>
      </c>
      <c r="H65" s="25">
        <v>0.663</v>
      </c>
      <c r="I65" s="25" t="s">
        <v>7</v>
      </c>
      <c r="J65" s="48">
        <v>-1.211</v>
      </c>
      <c r="K65" s="47">
        <v>16.551</v>
      </c>
      <c r="L65" s="25">
        <v>7.79</v>
      </c>
      <c r="M65" s="25">
        <v>1.37</v>
      </c>
      <c r="N65" s="25" t="s">
        <v>5</v>
      </c>
      <c r="O65" s="48">
        <v>-0.615</v>
      </c>
      <c r="T65" s="28"/>
      <c r="U65" s="28"/>
      <c r="V65" s="28"/>
      <c r="W65" s="28"/>
      <c r="X65" s="28"/>
      <c r="Y65" s="28"/>
      <c r="AA65" s="30"/>
      <c r="AB65" s="30"/>
      <c r="AC65" s="30"/>
    </row>
    <row r="66">
      <c r="A66" s="59"/>
      <c r="B66" s="60"/>
      <c r="C66" s="60"/>
      <c r="D66" s="60"/>
      <c r="E66" s="61"/>
      <c r="F66" s="59"/>
      <c r="G66" s="60"/>
      <c r="H66" s="60"/>
      <c r="I66" s="60"/>
      <c r="J66" s="61"/>
      <c r="K66" s="59"/>
      <c r="L66" s="60"/>
      <c r="M66" s="60"/>
      <c r="N66" s="60"/>
      <c r="O66" s="61"/>
      <c r="T66" s="28"/>
      <c r="U66" s="28"/>
      <c r="V66" s="28"/>
      <c r="W66" s="28"/>
      <c r="X66" s="28"/>
      <c r="Y66" s="28"/>
      <c r="AA66" s="30"/>
      <c r="AB66" s="30"/>
      <c r="AC66" s="30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T67" s="28"/>
      <c r="U67" s="28"/>
      <c r="V67" s="28"/>
      <c r="W67" s="28"/>
      <c r="X67" s="28"/>
      <c r="Y67" s="28"/>
      <c r="AA67" s="30"/>
      <c r="AB67" s="30"/>
      <c r="AC67" s="30"/>
    </row>
    <row r="68">
      <c r="A68" s="64" t="s">
        <v>46</v>
      </c>
      <c r="B68" s="65"/>
      <c r="C68" s="66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T68" s="28"/>
      <c r="U68" s="28"/>
      <c r="V68" s="28"/>
      <c r="W68" s="28"/>
      <c r="X68" s="28"/>
      <c r="Y68" s="28"/>
      <c r="AA68" s="30"/>
      <c r="AB68" s="30"/>
      <c r="AC68" s="30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T69" s="28"/>
      <c r="U69" s="28"/>
      <c r="V69" s="28"/>
      <c r="W69" s="28"/>
      <c r="X69" s="28"/>
      <c r="Y69" s="28"/>
      <c r="AA69" s="30"/>
      <c r="AB69" s="30"/>
      <c r="AC69" s="30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T70" s="28"/>
      <c r="U70" s="28"/>
      <c r="V70" s="28"/>
      <c r="W70" s="28"/>
      <c r="X70" s="28"/>
      <c r="Y70" s="28"/>
      <c r="AA70" s="30"/>
      <c r="AB70" s="30"/>
      <c r="AC70" s="30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T71" s="28"/>
      <c r="U71" s="28"/>
      <c r="V71" s="28"/>
      <c r="W71" s="28"/>
      <c r="X71" s="28"/>
      <c r="Y71" s="28"/>
      <c r="AA71" s="30"/>
      <c r="AB71" s="30"/>
      <c r="AC71" s="30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T72" s="28"/>
      <c r="U72" s="28"/>
      <c r="V72" s="28"/>
      <c r="W72" s="28"/>
      <c r="X72" s="28"/>
      <c r="Y72" s="28"/>
      <c r="AA72" s="30"/>
      <c r="AB72" s="30"/>
      <c r="AC72" s="30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T73" s="28"/>
      <c r="U73" s="28"/>
      <c r="V73" s="28"/>
      <c r="W73" s="28"/>
      <c r="X73" s="28"/>
      <c r="Y73" s="28"/>
      <c r="AA73" s="30"/>
      <c r="AB73" s="30"/>
      <c r="AC73" s="30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T74" s="28"/>
      <c r="U74" s="28"/>
      <c r="V74" s="28"/>
      <c r="W74" s="28"/>
      <c r="X74" s="28"/>
      <c r="Y74" s="28"/>
      <c r="AA74" s="30"/>
      <c r="AB74" s="30"/>
      <c r="AC74" s="30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T75" s="28"/>
      <c r="U75" s="28"/>
      <c r="V75" s="28"/>
      <c r="W75" s="28"/>
      <c r="X75" s="28"/>
      <c r="Y75" s="28"/>
      <c r="AA75" s="30"/>
      <c r="AB75" s="30"/>
      <c r="AC75" s="30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T76" s="28"/>
      <c r="U76" s="28"/>
      <c r="V76" s="28"/>
      <c r="W76" s="28"/>
      <c r="X76" s="28"/>
      <c r="Y76" s="28"/>
      <c r="AA76" s="30"/>
      <c r="AB76" s="30"/>
      <c r="AC76" s="30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T77" s="28"/>
      <c r="U77" s="28"/>
      <c r="V77" s="28"/>
      <c r="W77" s="28"/>
      <c r="X77" s="28"/>
      <c r="Y77" s="28"/>
      <c r="AA77" s="30"/>
      <c r="AB77" s="30"/>
      <c r="AC77" s="30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T78" s="28"/>
      <c r="U78" s="28"/>
      <c r="V78" s="28"/>
      <c r="W78" s="28"/>
      <c r="X78" s="28"/>
      <c r="Y78" s="28"/>
      <c r="AA78" s="30"/>
      <c r="AB78" s="30"/>
      <c r="AC78" s="30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T79" s="28"/>
      <c r="U79" s="28"/>
      <c r="V79" s="28"/>
      <c r="W79" s="28"/>
      <c r="X79" s="28"/>
      <c r="Y79" s="28"/>
      <c r="AA79" s="30"/>
      <c r="AB79" s="30"/>
      <c r="AC79" s="30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T80" s="28"/>
      <c r="U80" s="28"/>
      <c r="V80" s="28"/>
      <c r="W80" s="28"/>
      <c r="X80" s="28"/>
      <c r="Y80" s="28"/>
      <c r="AA80" s="30"/>
      <c r="AB80" s="30"/>
      <c r="AC80" s="30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T81" s="28"/>
      <c r="U81" s="28"/>
      <c r="V81" s="28"/>
      <c r="W81" s="28"/>
      <c r="X81" s="28"/>
      <c r="Y81" s="28"/>
      <c r="AA81" s="30"/>
      <c r="AB81" s="30"/>
      <c r="AC81" s="30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T82" s="28"/>
      <c r="U82" s="28"/>
      <c r="V82" s="28"/>
      <c r="W82" s="28"/>
      <c r="X82" s="28"/>
      <c r="Y82" s="28"/>
      <c r="AA82" s="30"/>
      <c r="AB82" s="30"/>
      <c r="AC82" s="30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T83" s="28"/>
      <c r="U83" s="28"/>
      <c r="V83" s="28"/>
      <c r="W83" s="28"/>
      <c r="X83" s="28"/>
      <c r="Y83" s="28"/>
      <c r="AA83" s="30"/>
      <c r="AB83" s="30"/>
      <c r="AC83" s="30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T84" s="28"/>
      <c r="U84" s="28"/>
      <c r="V84" s="28"/>
      <c r="W84" s="28"/>
      <c r="X84" s="28"/>
      <c r="Y84" s="28"/>
      <c r="AA84" s="30"/>
      <c r="AB84" s="30"/>
      <c r="AC84" s="30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T85" s="28"/>
      <c r="U85" s="28"/>
      <c r="V85" s="28"/>
      <c r="W85" s="28"/>
      <c r="X85" s="28"/>
      <c r="Y85" s="28"/>
      <c r="AA85" s="30"/>
      <c r="AB85" s="30"/>
      <c r="AC85" s="30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T86" s="28"/>
      <c r="U86" s="28"/>
      <c r="V86" s="28"/>
      <c r="W86" s="28"/>
      <c r="X86" s="28"/>
      <c r="Y86" s="28"/>
      <c r="AA86" s="30"/>
      <c r="AB86" s="30"/>
      <c r="AC86" s="30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T87" s="28"/>
      <c r="U87" s="28"/>
      <c r="V87" s="28"/>
      <c r="W87" s="28"/>
      <c r="X87" s="28"/>
      <c r="Y87" s="28"/>
      <c r="AA87" s="30"/>
      <c r="AB87" s="30"/>
      <c r="AC87" s="30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T88" s="28"/>
      <c r="U88" s="28"/>
      <c r="V88" s="28"/>
      <c r="W88" s="28"/>
      <c r="X88" s="28"/>
      <c r="Y88" s="28"/>
      <c r="AA88" s="30"/>
      <c r="AB88" s="30"/>
      <c r="AC88" s="30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T89" s="28"/>
      <c r="U89" s="28"/>
      <c r="V89" s="28"/>
      <c r="W89" s="28"/>
      <c r="X89" s="28"/>
      <c r="Y89" s="28"/>
      <c r="AA89" s="30"/>
      <c r="AB89" s="30"/>
      <c r="AC89" s="30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T90" s="28"/>
      <c r="U90" s="28"/>
      <c r="V90" s="28"/>
      <c r="W90" s="28"/>
      <c r="X90" s="28"/>
      <c r="Y90" s="28"/>
      <c r="AA90" s="30"/>
      <c r="AB90" s="30"/>
      <c r="AC90" s="30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T91" s="28"/>
      <c r="U91" s="28"/>
      <c r="V91" s="28"/>
      <c r="W91" s="28"/>
      <c r="X91" s="28"/>
      <c r="Y91" s="28"/>
      <c r="AA91" s="30"/>
      <c r="AB91" s="30"/>
      <c r="AC91" s="30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T92" s="28"/>
      <c r="U92" s="28"/>
      <c r="V92" s="28"/>
      <c r="W92" s="28"/>
      <c r="X92" s="28"/>
      <c r="Y92" s="28"/>
      <c r="AA92" s="30"/>
      <c r="AB92" s="30"/>
      <c r="AC92" s="30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T93" s="28"/>
      <c r="U93" s="28"/>
      <c r="V93" s="28"/>
      <c r="W93" s="28"/>
      <c r="X93" s="28"/>
      <c r="Y93" s="28"/>
      <c r="AA93" s="30"/>
      <c r="AB93" s="30"/>
      <c r="AC93" s="30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T94" s="28"/>
      <c r="U94" s="28"/>
      <c r="V94" s="28"/>
      <c r="W94" s="28"/>
      <c r="X94" s="28"/>
      <c r="Y94" s="28"/>
      <c r="AA94" s="30"/>
      <c r="AB94" s="30"/>
      <c r="AC94" s="30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T95" s="28"/>
      <c r="U95" s="28"/>
      <c r="V95" s="28"/>
      <c r="W95" s="28"/>
      <c r="X95" s="28"/>
      <c r="Y95" s="28"/>
      <c r="AA95" s="30"/>
      <c r="AB95" s="30"/>
      <c r="AC95" s="30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T96" s="28"/>
      <c r="U96" s="28"/>
      <c r="V96" s="28"/>
      <c r="W96" s="28"/>
      <c r="X96" s="28"/>
      <c r="Y96" s="28"/>
      <c r="AA96" s="30"/>
      <c r="AB96" s="30"/>
      <c r="AC96" s="30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T97" s="28"/>
      <c r="U97" s="28"/>
      <c r="V97" s="28"/>
      <c r="W97" s="28"/>
      <c r="X97" s="28"/>
      <c r="Y97" s="28"/>
      <c r="AA97" s="30"/>
      <c r="AB97" s="30"/>
      <c r="AC97" s="30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T98" s="28"/>
      <c r="U98" s="28"/>
      <c r="V98" s="28"/>
      <c r="W98" s="28"/>
      <c r="X98" s="28"/>
      <c r="Y98" s="28"/>
      <c r="AA98" s="30"/>
      <c r="AB98" s="30"/>
      <c r="AC98" s="30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T99" s="28"/>
      <c r="U99" s="28"/>
      <c r="V99" s="28"/>
      <c r="W99" s="28"/>
      <c r="X99" s="28"/>
      <c r="Y99" s="28"/>
      <c r="AA99" s="30"/>
      <c r="AB99" s="30"/>
      <c r="AC99" s="30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T100" s="28"/>
      <c r="U100" s="28"/>
      <c r="V100" s="28"/>
      <c r="W100" s="28"/>
      <c r="X100" s="28"/>
      <c r="Y100" s="28"/>
      <c r="AA100" s="30"/>
      <c r="AB100" s="30"/>
      <c r="AC100" s="30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T101" s="28"/>
      <c r="U101" s="28"/>
      <c r="V101" s="28"/>
      <c r="W101" s="28"/>
      <c r="X101" s="28"/>
      <c r="Y101" s="28"/>
      <c r="AA101" s="30"/>
      <c r="AB101" s="30"/>
      <c r="AC101" s="30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T102" s="28"/>
      <c r="U102" s="28"/>
      <c r="V102" s="28"/>
      <c r="W102" s="28"/>
      <c r="X102" s="28"/>
      <c r="Y102" s="28"/>
      <c r="AA102" s="30"/>
      <c r="AB102" s="30"/>
      <c r="AC102" s="30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T103" s="28"/>
      <c r="U103" s="28"/>
      <c r="V103" s="28"/>
      <c r="W103" s="28"/>
      <c r="X103" s="28"/>
      <c r="Y103" s="28"/>
      <c r="AA103" s="30"/>
      <c r="AB103" s="30"/>
      <c r="AC103" s="30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T104" s="28"/>
      <c r="U104" s="28"/>
      <c r="V104" s="28"/>
      <c r="W104" s="28"/>
      <c r="X104" s="28"/>
      <c r="Y104" s="28"/>
      <c r="AA104" s="30"/>
      <c r="AB104" s="30"/>
      <c r="AC104" s="30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T105" s="28"/>
      <c r="U105" s="28"/>
      <c r="V105" s="28"/>
      <c r="W105" s="28"/>
      <c r="X105" s="28"/>
      <c r="Y105" s="28"/>
      <c r="AA105" s="30"/>
      <c r="AB105" s="30"/>
      <c r="AC105" s="30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T106" s="28"/>
      <c r="U106" s="28"/>
      <c r="V106" s="28"/>
      <c r="W106" s="28"/>
      <c r="X106" s="28"/>
      <c r="Y106" s="28"/>
      <c r="AA106" s="30"/>
      <c r="AB106" s="30"/>
      <c r="AC106" s="30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T107" s="28"/>
      <c r="U107" s="28"/>
      <c r="V107" s="28"/>
      <c r="W107" s="28"/>
      <c r="X107" s="28"/>
      <c r="Y107" s="28"/>
      <c r="AA107" s="30"/>
      <c r="AB107" s="30"/>
      <c r="AC107" s="30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T108" s="28"/>
      <c r="U108" s="28"/>
      <c r="V108" s="28"/>
      <c r="W108" s="28"/>
      <c r="X108" s="28"/>
      <c r="Y108" s="28"/>
      <c r="AA108" s="30"/>
      <c r="AB108" s="30"/>
      <c r="AC108" s="30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T109" s="28"/>
      <c r="U109" s="28"/>
      <c r="V109" s="28"/>
      <c r="W109" s="28"/>
      <c r="X109" s="28"/>
      <c r="Y109" s="28"/>
      <c r="AA109" s="30"/>
      <c r="AB109" s="30"/>
      <c r="AC109" s="30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T110" s="28"/>
      <c r="U110" s="28"/>
      <c r="V110" s="28"/>
      <c r="W110" s="28"/>
      <c r="X110" s="28"/>
      <c r="Y110" s="28"/>
      <c r="AA110" s="30"/>
      <c r="AB110" s="30"/>
      <c r="AC110" s="30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T111" s="28"/>
      <c r="U111" s="28"/>
      <c r="V111" s="28"/>
      <c r="W111" s="28"/>
      <c r="X111" s="28"/>
      <c r="Y111" s="28"/>
      <c r="AA111" s="30"/>
      <c r="AB111" s="30"/>
      <c r="AC111" s="30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T112" s="28"/>
      <c r="U112" s="28"/>
      <c r="V112" s="28"/>
      <c r="W112" s="28"/>
      <c r="X112" s="28"/>
      <c r="Y112" s="28"/>
      <c r="AA112" s="30"/>
      <c r="AB112" s="30"/>
      <c r="AC112" s="30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T113" s="28"/>
      <c r="U113" s="28"/>
      <c r="V113" s="28"/>
      <c r="W113" s="28"/>
      <c r="X113" s="28"/>
      <c r="Y113" s="28"/>
      <c r="AA113" s="30"/>
      <c r="AB113" s="30"/>
      <c r="AC113" s="30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T114" s="28"/>
      <c r="U114" s="28"/>
      <c r="V114" s="28"/>
      <c r="W114" s="28"/>
      <c r="X114" s="28"/>
      <c r="Y114" s="28"/>
      <c r="AA114" s="30"/>
      <c r="AB114" s="30"/>
      <c r="AC114" s="30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T115" s="28"/>
      <c r="U115" s="28"/>
      <c r="V115" s="28"/>
      <c r="W115" s="28"/>
      <c r="X115" s="28"/>
      <c r="Y115" s="28"/>
      <c r="AA115" s="30"/>
      <c r="AB115" s="30"/>
      <c r="AC115" s="30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T116" s="28"/>
      <c r="U116" s="28"/>
      <c r="V116" s="28"/>
      <c r="W116" s="28"/>
      <c r="X116" s="28"/>
      <c r="Y116" s="28"/>
      <c r="AA116" s="30"/>
      <c r="AB116" s="30"/>
      <c r="AC116" s="30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T117" s="28"/>
      <c r="U117" s="28"/>
      <c r="V117" s="28"/>
      <c r="W117" s="28"/>
      <c r="X117" s="28"/>
      <c r="Y117" s="28"/>
      <c r="AA117" s="30"/>
      <c r="AB117" s="30"/>
      <c r="AC117" s="30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T118" s="28"/>
      <c r="U118" s="28"/>
      <c r="V118" s="28"/>
      <c r="W118" s="28"/>
      <c r="X118" s="28"/>
      <c r="Y118" s="28"/>
      <c r="AA118" s="30"/>
      <c r="AB118" s="30"/>
      <c r="AC118" s="30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T119" s="28"/>
      <c r="U119" s="28"/>
      <c r="V119" s="28"/>
      <c r="W119" s="28"/>
      <c r="X119" s="28"/>
      <c r="Y119" s="28"/>
      <c r="AA119" s="30"/>
      <c r="AB119" s="30"/>
      <c r="AC119" s="30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T120" s="28"/>
      <c r="U120" s="28"/>
      <c r="V120" s="28"/>
      <c r="W120" s="28"/>
      <c r="X120" s="28"/>
      <c r="Y120" s="28"/>
      <c r="AA120" s="30"/>
      <c r="AB120" s="30"/>
      <c r="AC120" s="30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T121" s="28"/>
      <c r="U121" s="28"/>
      <c r="V121" s="28"/>
      <c r="W121" s="28"/>
      <c r="X121" s="28"/>
      <c r="Y121" s="28"/>
      <c r="AA121" s="30"/>
      <c r="AB121" s="30"/>
      <c r="AC121" s="30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T122" s="28"/>
      <c r="U122" s="28"/>
      <c r="V122" s="28"/>
      <c r="W122" s="28"/>
      <c r="X122" s="28"/>
      <c r="Y122" s="28"/>
      <c r="AA122" s="30"/>
      <c r="AB122" s="30"/>
      <c r="AC122" s="30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T123" s="28"/>
      <c r="U123" s="28"/>
      <c r="V123" s="28"/>
      <c r="W123" s="28"/>
      <c r="X123" s="28"/>
      <c r="Y123" s="28"/>
      <c r="AA123" s="30"/>
      <c r="AB123" s="30"/>
      <c r="AC123" s="30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T124" s="28"/>
      <c r="U124" s="28"/>
      <c r="V124" s="28"/>
      <c r="W124" s="28"/>
      <c r="X124" s="28"/>
      <c r="Y124" s="28"/>
      <c r="AA124" s="30"/>
      <c r="AB124" s="30"/>
      <c r="AC124" s="30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T125" s="28"/>
      <c r="U125" s="28"/>
      <c r="V125" s="28"/>
      <c r="W125" s="28"/>
      <c r="X125" s="28"/>
      <c r="Y125" s="28"/>
      <c r="AA125" s="30"/>
      <c r="AB125" s="30"/>
      <c r="AC125" s="30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T126" s="28"/>
      <c r="U126" s="28"/>
      <c r="V126" s="28"/>
      <c r="W126" s="28"/>
      <c r="X126" s="28"/>
      <c r="Y126" s="28"/>
      <c r="AA126" s="30"/>
      <c r="AB126" s="30"/>
      <c r="AC126" s="30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T127" s="28"/>
      <c r="U127" s="28"/>
      <c r="V127" s="28"/>
      <c r="W127" s="28"/>
      <c r="X127" s="28"/>
      <c r="Y127" s="28"/>
      <c r="AA127" s="30"/>
      <c r="AB127" s="30"/>
      <c r="AC127" s="30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T128" s="28"/>
      <c r="U128" s="28"/>
      <c r="V128" s="28"/>
      <c r="W128" s="28"/>
      <c r="X128" s="28"/>
      <c r="Y128" s="28"/>
      <c r="AA128" s="30"/>
      <c r="AB128" s="30"/>
      <c r="AC128" s="30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T129" s="28"/>
      <c r="U129" s="28"/>
      <c r="V129" s="28"/>
      <c r="W129" s="28"/>
      <c r="X129" s="28"/>
      <c r="Y129" s="28"/>
      <c r="AA129" s="30"/>
      <c r="AB129" s="30"/>
      <c r="AC129" s="30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T130" s="28"/>
      <c r="U130" s="28"/>
      <c r="V130" s="28"/>
      <c r="W130" s="28"/>
      <c r="X130" s="28"/>
      <c r="Y130" s="28"/>
      <c r="AA130" s="30"/>
      <c r="AB130" s="30"/>
      <c r="AC130" s="30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T131" s="28"/>
      <c r="U131" s="28"/>
      <c r="V131" s="28"/>
      <c r="W131" s="28"/>
      <c r="X131" s="28"/>
      <c r="Y131" s="28"/>
      <c r="AA131" s="30"/>
      <c r="AB131" s="30"/>
      <c r="AC131" s="30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T132" s="28"/>
      <c r="U132" s="28"/>
      <c r="V132" s="28"/>
      <c r="W132" s="28"/>
      <c r="X132" s="28"/>
      <c r="Y132" s="28"/>
      <c r="AA132" s="30"/>
      <c r="AB132" s="30"/>
      <c r="AC132" s="30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T133" s="28"/>
      <c r="U133" s="28"/>
      <c r="V133" s="28"/>
      <c r="W133" s="28"/>
      <c r="X133" s="28"/>
      <c r="Y133" s="28"/>
      <c r="AA133" s="30"/>
      <c r="AB133" s="30"/>
      <c r="AC133" s="30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T134" s="28"/>
      <c r="U134" s="28"/>
      <c r="V134" s="28"/>
      <c r="W134" s="28"/>
      <c r="X134" s="28"/>
      <c r="Y134" s="28"/>
      <c r="AA134" s="30"/>
      <c r="AB134" s="30"/>
      <c r="AC134" s="30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T135" s="28"/>
      <c r="U135" s="28"/>
      <c r="V135" s="28"/>
      <c r="W135" s="28"/>
      <c r="X135" s="28"/>
      <c r="Y135" s="28"/>
      <c r="AA135" s="30"/>
      <c r="AB135" s="30"/>
      <c r="AC135" s="30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T136" s="28"/>
      <c r="U136" s="28"/>
      <c r="V136" s="28"/>
      <c r="W136" s="28"/>
      <c r="X136" s="28"/>
      <c r="Y136" s="28"/>
      <c r="AA136" s="30"/>
      <c r="AB136" s="30"/>
      <c r="AC136" s="30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T137" s="28"/>
      <c r="U137" s="28"/>
      <c r="V137" s="28"/>
      <c r="W137" s="28"/>
      <c r="X137" s="28"/>
      <c r="Y137" s="28"/>
      <c r="AA137" s="30"/>
      <c r="AB137" s="30"/>
      <c r="AC137" s="30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T138" s="28"/>
      <c r="U138" s="28"/>
      <c r="V138" s="28"/>
      <c r="W138" s="28"/>
      <c r="X138" s="28"/>
      <c r="Y138" s="28"/>
      <c r="AA138" s="30"/>
      <c r="AB138" s="30"/>
      <c r="AC138" s="30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T139" s="28"/>
      <c r="U139" s="28"/>
      <c r="V139" s="28"/>
      <c r="W139" s="28"/>
      <c r="X139" s="28"/>
      <c r="Y139" s="28"/>
      <c r="AA139" s="30"/>
      <c r="AB139" s="30"/>
      <c r="AC139" s="30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T140" s="28"/>
      <c r="U140" s="28"/>
      <c r="V140" s="28"/>
      <c r="W140" s="28"/>
      <c r="X140" s="28"/>
      <c r="Y140" s="28"/>
      <c r="AA140" s="30"/>
      <c r="AB140" s="30"/>
      <c r="AC140" s="30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T141" s="28"/>
      <c r="U141" s="28"/>
      <c r="V141" s="28"/>
      <c r="W141" s="28"/>
      <c r="X141" s="28"/>
      <c r="Y141" s="28"/>
      <c r="AA141" s="30"/>
      <c r="AB141" s="30"/>
      <c r="AC141" s="30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T142" s="28"/>
      <c r="U142" s="28"/>
      <c r="V142" s="28"/>
      <c r="W142" s="28"/>
      <c r="X142" s="28"/>
      <c r="Y142" s="28"/>
      <c r="AA142" s="30"/>
      <c r="AB142" s="30"/>
      <c r="AC142" s="30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T143" s="28"/>
      <c r="U143" s="28"/>
      <c r="V143" s="28"/>
      <c r="W143" s="28"/>
      <c r="X143" s="28"/>
      <c r="Y143" s="28"/>
      <c r="AA143" s="30"/>
      <c r="AB143" s="30"/>
      <c r="AC143" s="30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T144" s="28"/>
      <c r="U144" s="28"/>
      <c r="V144" s="28"/>
      <c r="W144" s="28"/>
      <c r="X144" s="28"/>
      <c r="Y144" s="28"/>
      <c r="AA144" s="30"/>
      <c r="AB144" s="30"/>
      <c r="AC144" s="30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T145" s="28"/>
      <c r="U145" s="28"/>
      <c r="V145" s="28"/>
      <c r="W145" s="28"/>
      <c r="X145" s="28"/>
      <c r="Y145" s="28"/>
      <c r="AA145" s="30"/>
      <c r="AB145" s="30"/>
      <c r="AC145" s="30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T146" s="28"/>
      <c r="U146" s="28"/>
      <c r="V146" s="28"/>
      <c r="W146" s="28"/>
      <c r="X146" s="28"/>
      <c r="Y146" s="28"/>
      <c r="AA146" s="30"/>
      <c r="AB146" s="30"/>
      <c r="AC146" s="30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T147" s="28"/>
      <c r="U147" s="28"/>
      <c r="V147" s="28"/>
      <c r="W147" s="28"/>
      <c r="X147" s="28"/>
      <c r="Y147" s="28"/>
      <c r="AA147" s="30"/>
      <c r="AB147" s="30"/>
      <c r="AC147" s="30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T148" s="28"/>
      <c r="U148" s="28"/>
      <c r="V148" s="28"/>
      <c r="W148" s="28"/>
      <c r="X148" s="28"/>
      <c r="Y148" s="28"/>
      <c r="AA148" s="30"/>
      <c r="AB148" s="30"/>
      <c r="AC148" s="30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T149" s="28"/>
      <c r="U149" s="28"/>
      <c r="V149" s="28"/>
      <c r="W149" s="28"/>
      <c r="X149" s="28"/>
      <c r="Y149" s="28"/>
      <c r="AA149" s="30"/>
      <c r="AB149" s="30"/>
      <c r="AC149" s="30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T150" s="28"/>
      <c r="U150" s="28"/>
      <c r="V150" s="28"/>
      <c r="W150" s="28"/>
      <c r="X150" s="28"/>
      <c r="Y150" s="28"/>
      <c r="AA150" s="30"/>
      <c r="AB150" s="30"/>
      <c r="AC150" s="30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T151" s="28"/>
      <c r="U151" s="28"/>
      <c r="V151" s="28"/>
      <c r="W151" s="28"/>
      <c r="X151" s="28"/>
      <c r="Y151" s="28"/>
      <c r="AA151" s="30"/>
      <c r="AB151" s="30"/>
      <c r="AC151" s="30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T152" s="28"/>
      <c r="U152" s="28"/>
      <c r="V152" s="28"/>
      <c r="W152" s="28"/>
      <c r="X152" s="28"/>
      <c r="Y152" s="28"/>
      <c r="AA152" s="30"/>
      <c r="AB152" s="30"/>
      <c r="AC152" s="30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T153" s="28"/>
      <c r="U153" s="28"/>
      <c r="V153" s="28"/>
      <c r="W153" s="28"/>
      <c r="X153" s="28"/>
      <c r="Y153" s="28"/>
      <c r="AA153" s="30"/>
      <c r="AB153" s="30"/>
      <c r="AC153" s="30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T154" s="28"/>
      <c r="U154" s="28"/>
      <c r="V154" s="28"/>
      <c r="W154" s="28"/>
      <c r="X154" s="28"/>
      <c r="Y154" s="28"/>
      <c r="AA154" s="30"/>
      <c r="AB154" s="30"/>
      <c r="AC154" s="30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T155" s="28"/>
      <c r="U155" s="28"/>
      <c r="V155" s="28"/>
      <c r="W155" s="28"/>
      <c r="X155" s="28"/>
      <c r="Y155" s="28"/>
      <c r="AA155" s="30"/>
      <c r="AB155" s="30"/>
      <c r="AC155" s="30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T156" s="28"/>
      <c r="U156" s="28"/>
      <c r="V156" s="28"/>
      <c r="W156" s="28"/>
      <c r="X156" s="28"/>
      <c r="Y156" s="28"/>
      <c r="AA156" s="30"/>
      <c r="AB156" s="30"/>
      <c r="AC156" s="30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T157" s="28"/>
      <c r="U157" s="28"/>
      <c r="V157" s="28"/>
      <c r="W157" s="28"/>
      <c r="X157" s="28"/>
      <c r="Y157" s="28"/>
      <c r="AA157" s="30"/>
      <c r="AB157" s="30"/>
      <c r="AC157" s="30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T158" s="28"/>
      <c r="U158" s="28"/>
      <c r="V158" s="28"/>
      <c r="W158" s="28"/>
      <c r="X158" s="28"/>
      <c r="Y158" s="28"/>
      <c r="AA158" s="30"/>
      <c r="AB158" s="30"/>
      <c r="AC158" s="30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T159" s="28"/>
      <c r="U159" s="28"/>
      <c r="V159" s="28"/>
      <c r="W159" s="28"/>
      <c r="X159" s="28"/>
      <c r="Y159" s="28"/>
      <c r="AA159" s="30"/>
      <c r="AB159" s="30"/>
      <c r="AC159" s="30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T160" s="28"/>
      <c r="U160" s="28"/>
      <c r="V160" s="28"/>
      <c r="W160" s="28"/>
      <c r="X160" s="28"/>
      <c r="Y160" s="28"/>
      <c r="AA160" s="30"/>
      <c r="AB160" s="30"/>
      <c r="AC160" s="30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T161" s="28"/>
      <c r="U161" s="28"/>
      <c r="V161" s="28"/>
      <c r="W161" s="28"/>
      <c r="X161" s="28"/>
      <c r="Y161" s="28"/>
      <c r="AA161" s="30"/>
      <c r="AB161" s="30"/>
      <c r="AC161" s="30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T162" s="28"/>
      <c r="U162" s="28"/>
      <c r="V162" s="28"/>
      <c r="W162" s="28"/>
      <c r="X162" s="28"/>
      <c r="Y162" s="28"/>
      <c r="AA162" s="30"/>
      <c r="AB162" s="30"/>
      <c r="AC162" s="30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T163" s="28"/>
      <c r="U163" s="28"/>
      <c r="V163" s="28"/>
      <c r="W163" s="28"/>
      <c r="X163" s="28"/>
      <c r="Y163" s="28"/>
      <c r="AA163" s="30"/>
      <c r="AB163" s="30"/>
      <c r="AC163" s="30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T164" s="28"/>
      <c r="U164" s="28"/>
      <c r="V164" s="28"/>
      <c r="W164" s="28"/>
      <c r="X164" s="28"/>
      <c r="Y164" s="28"/>
      <c r="AA164" s="30"/>
      <c r="AB164" s="30"/>
      <c r="AC164" s="30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T165" s="28"/>
      <c r="U165" s="28"/>
      <c r="V165" s="28"/>
      <c r="W165" s="28"/>
      <c r="X165" s="28"/>
      <c r="Y165" s="28"/>
      <c r="AA165" s="30"/>
      <c r="AB165" s="30"/>
      <c r="AC165" s="30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T166" s="28"/>
      <c r="U166" s="28"/>
      <c r="V166" s="28"/>
      <c r="W166" s="28"/>
      <c r="X166" s="28"/>
      <c r="Y166" s="28"/>
      <c r="AA166" s="30"/>
      <c r="AB166" s="30"/>
      <c r="AC166" s="30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T167" s="28"/>
      <c r="U167" s="28"/>
      <c r="V167" s="28"/>
      <c r="W167" s="28"/>
      <c r="X167" s="28"/>
      <c r="Y167" s="28"/>
      <c r="AA167" s="30"/>
      <c r="AB167" s="30"/>
      <c r="AC167" s="30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T168" s="28"/>
      <c r="U168" s="28"/>
      <c r="V168" s="28"/>
      <c r="W168" s="28"/>
      <c r="X168" s="28"/>
      <c r="Y168" s="28"/>
      <c r="AA168" s="30"/>
      <c r="AB168" s="30"/>
      <c r="AC168" s="30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T169" s="28"/>
      <c r="U169" s="28"/>
      <c r="V169" s="28"/>
      <c r="W169" s="28"/>
      <c r="X169" s="28"/>
      <c r="Y169" s="28"/>
      <c r="AA169" s="30"/>
      <c r="AB169" s="30"/>
      <c r="AC169" s="30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T170" s="28"/>
      <c r="U170" s="28"/>
      <c r="V170" s="28"/>
      <c r="W170" s="28"/>
      <c r="X170" s="28"/>
      <c r="Y170" s="28"/>
      <c r="AA170" s="30"/>
      <c r="AB170" s="30"/>
      <c r="AC170" s="30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T171" s="28"/>
      <c r="U171" s="28"/>
      <c r="V171" s="28"/>
      <c r="W171" s="28"/>
      <c r="X171" s="28"/>
      <c r="Y171" s="28"/>
      <c r="AA171" s="30"/>
      <c r="AB171" s="30"/>
      <c r="AC171" s="30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T172" s="28"/>
      <c r="U172" s="28"/>
      <c r="V172" s="28"/>
      <c r="W172" s="28"/>
      <c r="X172" s="28"/>
      <c r="Y172" s="28"/>
      <c r="AA172" s="30"/>
      <c r="AB172" s="30"/>
      <c r="AC172" s="30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T173" s="28"/>
      <c r="U173" s="28"/>
      <c r="V173" s="28"/>
      <c r="W173" s="28"/>
      <c r="X173" s="28"/>
      <c r="Y173" s="28"/>
      <c r="AA173" s="30"/>
      <c r="AB173" s="30"/>
      <c r="AC173" s="30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T174" s="28"/>
      <c r="U174" s="28"/>
      <c r="V174" s="28"/>
      <c r="W174" s="28"/>
      <c r="X174" s="28"/>
      <c r="Y174" s="28"/>
      <c r="AA174" s="30"/>
      <c r="AB174" s="30"/>
      <c r="AC174" s="30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T175" s="28"/>
      <c r="U175" s="28"/>
      <c r="V175" s="28"/>
      <c r="W175" s="28"/>
      <c r="X175" s="28"/>
      <c r="Y175" s="28"/>
      <c r="AA175" s="30"/>
      <c r="AB175" s="30"/>
      <c r="AC175" s="30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T176" s="28"/>
      <c r="U176" s="28"/>
      <c r="V176" s="28"/>
      <c r="W176" s="28"/>
      <c r="X176" s="28"/>
      <c r="Y176" s="28"/>
      <c r="AA176" s="30"/>
      <c r="AB176" s="30"/>
      <c r="AC176" s="30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T177" s="28"/>
      <c r="U177" s="28"/>
      <c r="V177" s="28"/>
      <c r="W177" s="28"/>
      <c r="X177" s="28"/>
      <c r="Y177" s="28"/>
      <c r="AA177" s="30"/>
      <c r="AB177" s="30"/>
      <c r="AC177" s="30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T178" s="28"/>
      <c r="U178" s="28"/>
      <c r="V178" s="28"/>
      <c r="W178" s="28"/>
      <c r="X178" s="28"/>
      <c r="Y178" s="28"/>
      <c r="AA178" s="30"/>
      <c r="AB178" s="30"/>
      <c r="AC178" s="30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T179" s="28"/>
      <c r="U179" s="28"/>
      <c r="V179" s="28"/>
      <c r="W179" s="28"/>
      <c r="X179" s="28"/>
      <c r="Y179" s="28"/>
      <c r="AA179" s="30"/>
      <c r="AB179" s="30"/>
      <c r="AC179" s="30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T180" s="28"/>
      <c r="U180" s="28"/>
      <c r="V180" s="28"/>
      <c r="W180" s="28"/>
      <c r="X180" s="28"/>
      <c r="Y180" s="28"/>
      <c r="AA180" s="30"/>
      <c r="AB180" s="30"/>
      <c r="AC180" s="30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T181" s="28"/>
      <c r="U181" s="28"/>
      <c r="V181" s="28"/>
      <c r="W181" s="28"/>
      <c r="X181" s="28"/>
      <c r="Y181" s="28"/>
      <c r="AA181" s="30"/>
      <c r="AB181" s="30"/>
      <c r="AC181" s="30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T182" s="28"/>
      <c r="U182" s="28"/>
      <c r="V182" s="28"/>
      <c r="W182" s="28"/>
      <c r="X182" s="28"/>
      <c r="Y182" s="28"/>
      <c r="AA182" s="30"/>
      <c r="AB182" s="30"/>
      <c r="AC182" s="30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T183" s="28"/>
      <c r="U183" s="28"/>
      <c r="V183" s="28"/>
      <c r="W183" s="28"/>
      <c r="X183" s="28"/>
      <c r="Y183" s="28"/>
      <c r="AA183" s="30"/>
      <c r="AB183" s="30"/>
      <c r="AC183" s="30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T184" s="28"/>
      <c r="U184" s="28"/>
      <c r="V184" s="28"/>
      <c r="W184" s="28"/>
      <c r="X184" s="28"/>
      <c r="Y184" s="28"/>
      <c r="AA184" s="30"/>
      <c r="AB184" s="30"/>
      <c r="AC184" s="30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T185" s="28"/>
      <c r="U185" s="28"/>
      <c r="V185" s="28"/>
      <c r="W185" s="28"/>
      <c r="X185" s="28"/>
      <c r="Y185" s="28"/>
      <c r="AA185" s="30"/>
      <c r="AB185" s="30"/>
      <c r="AC185" s="30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T186" s="28"/>
      <c r="U186" s="28"/>
      <c r="V186" s="28"/>
      <c r="W186" s="28"/>
      <c r="X186" s="28"/>
      <c r="Y186" s="28"/>
      <c r="AA186" s="30"/>
      <c r="AB186" s="30"/>
      <c r="AC186" s="30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T187" s="28"/>
      <c r="U187" s="28"/>
      <c r="V187" s="28"/>
      <c r="W187" s="28"/>
      <c r="X187" s="28"/>
      <c r="Y187" s="28"/>
      <c r="AA187" s="30"/>
      <c r="AB187" s="30"/>
      <c r="AC187" s="30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T188" s="28"/>
      <c r="U188" s="28"/>
      <c r="V188" s="28"/>
      <c r="W188" s="28"/>
      <c r="X188" s="28"/>
      <c r="Y188" s="28"/>
      <c r="AA188" s="30"/>
      <c r="AB188" s="30"/>
      <c r="AC188" s="30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T189" s="28"/>
      <c r="U189" s="28"/>
      <c r="V189" s="28"/>
      <c r="W189" s="28"/>
      <c r="X189" s="28"/>
      <c r="Y189" s="28"/>
      <c r="AA189" s="30"/>
      <c r="AB189" s="30"/>
      <c r="AC189" s="30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T190" s="28"/>
      <c r="U190" s="28"/>
      <c r="V190" s="28"/>
      <c r="W190" s="28"/>
      <c r="X190" s="28"/>
      <c r="Y190" s="28"/>
      <c r="AA190" s="30"/>
      <c r="AB190" s="30"/>
      <c r="AC190" s="30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T191" s="28"/>
      <c r="U191" s="28"/>
      <c r="V191" s="28"/>
      <c r="W191" s="28"/>
      <c r="X191" s="28"/>
      <c r="Y191" s="28"/>
      <c r="AA191" s="30"/>
      <c r="AB191" s="30"/>
      <c r="AC191" s="30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T192" s="28"/>
      <c r="U192" s="28"/>
      <c r="V192" s="28"/>
      <c r="W192" s="28"/>
      <c r="X192" s="28"/>
      <c r="Y192" s="28"/>
      <c r="AA192" s="30"/>
      <c r="AB192" s="30"/>
      <c r="AC192" s="30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T193" s="28"/>
      <c r="U193" s="28"/>
      <c r="V193" s="28"/>
      <c r="W193" s="28"/>
      <c r="X193" s="28"/>
      <c r="Y193" s="28"/>
      <c r="AA193" s="30"/>
      <c r="AB193" s="30"/>
      <c r="AC193" s="30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T194" s="28"/>
      <c r="U194" s="28"/>
      <c r="V194" s="28"/>
      <c r="W194" s="28"/>
      <c r="X194" s="28"/>
      <c r="Y194" s="28"/>
      <c r="AA194" s="30"/>
      <c r="AB194" s="30"/>
      <c r="AC194" s="30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T195" s="28"/>
      <c r="U195" s="28"/>
      <c r="V195" s="28"/>
      <c r="W195" s="28"/>
      <c r="X195" s="28"/>
      <c r="Y195" s="28"/>
      <c r="AA195" s="30"/>
      <c r="AB195" s="30"/>
      <c r="AC195" s="30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T196" s="28"/>
      <c r="U196" s="28"/>
      <c r="V196" s="28"/>
      <c r="W196" s="28"/>
      <c r="X196" s="28"/>
      <c r="Y196" s="28"/>
      <c r="AA196" s="30"/>
      <c r="AB196" s="30"/>
      <c r="AC196" s="30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T197" s="28"/>
      <c r="U197" s="28"/>
      <c r="V197" s="28"/>
      <c r="W197" s="28"/>
      <c r="X197" s="28"/>
      <c r="Y197" s="28"/>
      <c r="AA197" s="30"/>
      <c r="AB197" s="30"/>
      <c r="AC197" s="30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T198" s="28"/>
      <c r="U198" s="28"/>
      <c r="V198" s="28"/>
      <c r="W198" s="28"/>
      <c r="X198" s="28"/>
      <c r="Y198" s="28"/>
      <c r="AA198" s="30"/>
      <c r="AB198" s="30"/>
      <c r="AC198" s="30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T199" s="28"/>
      <c r="U199" s="28"/>
      <c r="V199" s="28"/>
      <c r="W199" s="28"/>
      <c r="X199" s="28"/>
      <c r="Y199" s="28"/>
      <c r="AA199" s="30"/>
      <c r="AB199" s="30"/>
      <c r="AC199" s="30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T200" s="28"/>
      <c r="U200" s="28"/>
      <c r="V200" s="28"/>
      <c r="W200" s="28"/>
      <c r="X200" s="28"/>
      <c r="Y200" s="28"/>
      <c r="AA200" s="30"/>
      <c r="AB200" s="30"/>
      <c r="AC200" s="30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T201" s="28"/>
      <c r="U201" s="28"/>
      <c r="V201" s="28"/>
      <c r="W201" s="28"/>
      <c r="X201" s="28"/>
      <c r="Y201" s="28"/>
      <c r="AA201" s="30"/>
      <c r="AB201" s="30"/>
      <c r="AC201" s="30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T202" s="28"/>
      <c r="U202" s="28"/>
      <c r="V202" s="28"/>
      <c r="W202" s="28"/>
      <c r="X202" s="28"/>
      <c r="Y202" s="28"/>
      <c r="AA202" s="30"/>
      <c r="AB202" s="30"/>
      <c r="AC202" s="30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T203" s="28"/>
      <c r="U203" s="28"/>
      <c r="V203" s="28"/>
      <c r="W203" s="28"/>
      <c r="X203" s="28"/>
      <c r="Y203" s="28"/>
      <c r="AA203" s="30"/>
      <c r="AB203" s="30"/>
      <c r="AC203" s="30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T204" s="28"/>
      <c r="U204" s="28"/>
      <c r="V204" s="28"/>
      <c r="W204" s="28"/>
      <c r="X204" s="28"/>
      <c r="Y204" s="28"/>
      <c r="AA204" s="30"/>
      <c r="AB204" s="30"/>
      <c r="AC204" s="30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T205" s="28"/>
      <c r="U205" s="28"/>
      <c r="V205" s="28"/>
      <c r="W205" s="28"/>
      <c r="X205" s="28"/>
      <c r="Y205" s="28"/>
      <c r="AA205" s="30"/>
      <c r="AB205" s="30"/>
      <c r="AC205" s="30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T206" s="28"/>
      <c r="U206" s="28"/>
      <c r="V206" s="28"/>
      <c r="W206" s="28"/>
      <c r="X206" s="28"/>
      <c r="Y206" s="28"/>
      <c r="AA206" s="30"/>
      <c r="AB206" s="30"/>
      <c r="AC206" s="30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T207" s="28"/>
      <c r="U207" s="28"/>
      <c r="V207" s="28"/>
      <c r="W207" s="28"/>
      <c r="X207" s="28"/>
      <c r="Y207" s="28"/>
      <c r="AA207" s="30"/>
      <c r="AB207" s="30"/>
      <c r="AC207" s="30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T208" s="28"/>
      <c r="U208" s="28"/>
      <c r="V208" s="28"/>
      <c r="W208" s="28"/>
      <c r="X208" s="28"/>
      <c r="Y208" s="28"/>
      <c r="AA208" s="30"/>
      <c r="AB208" s="30"/>
      <c r="AC208" s="30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T209" s="28"/>
      <c r="U209" s="28"/>
      <c r="V209" s="28"/>
      <c r="W209" s="28"/>
      <c r="X209" s="28"/>
      <c r="Y209" s="28"/>
      <c r="AA209" s="30"/>
      <c r="AB209" s="30"/>
      <c r="AC209" s="30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T210" s="28"/>
      <c r="U210" s="28"/>
      <c r="V210" s="28"/>
      <c r="W210" s="28"/>
      <c r="X210" s="28"/>
      <c r="Y210" s="28"/>
      <c r="AA210" s="30"/>
      <c r="AB210" s="30"/>
      <c r="AC210" s="30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T211" s="28"/>
      <c r="U211" s="28"/>
      <c r="V211" s="28"/>
      <c r="W211" s="28"/>
      <c r="X211" s="28"/>
      <c r="Y211" s="28"/>
      <c r="AA211" s="30"/>
      <c r="AB211" s="30"/>
      <c r="AC211" s="30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T212" s="28"/>
      <c r="U212" s="28"/>
      <c r="V212" s="28"/>
      <c r="W212" s="28"/>
      <c r="X212" s="28"/>
      <c r="Y212" s="28"/>
      <c r="AA212" s="30"/>
      <c r="AB212" s="30"/>
      <c r="AC212" s="30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T213" s="28"/>
      <c r="U213" s="28"/>
      <c r="V213" s="28"/>
      <c r="W213" s="28"/>
      <c r="X213" s="28"/>
      <c r="Y213" s="28"/>
      <c r="AA213" s="30"/>
      <c r="AB213" s="30"/>
      <c r="AC213" s="30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T214" s="28"/>
      <c r="U214" s="28"/>
      <c r="V214" s="28"/>
      <c r="W214" s="28"/>
      <c r="X214" s="28"/>
      <c r="Y214" s="28"/>
      <c r="AA214" s="30"/>
      <c r="AB214" s="30"/>
      <c r="AC214" s="30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T215" s="28"/>
      <c r="U215" s="28"/>
      <c r="V215" s="28"/>
      <c r="W215" s="28"/>
      <c r="X215" s="28"/>
      <c r="Y215" s="28"/>
      <c r="AA215" s="30"/>
      <c r="AB215" s="30"/>
      <c r="AC215" s="30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T216" s="28"/>
      <c r="U216" s="28"/>
      <c r="V216" s="28"/>
      <c r="W216" s="28"/>
      <c r="X216" s="28"/>
      <c r="Y216" s="28"/>
      <c r="AA216" s="30"/>
      <c r="AB216" s="30"/>
      <c r="AC216" s="30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T217" s="28"/>
      <c r="U217" s="28"/>
      <c r="V217" s="28"/>
      <c r="W217" s="28"/>
      <c r="X217" s="28"/>
      <c r="Y217" s="28"/>
      <c r="AA217" s="30"/>
      <c r="AB217" s="30"/>
      <c r="AC217" s="30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T218" s="28"/>
      <c r="U218" s="28"/>
      <c r="V218" s="28"/>
      <c r="W218" s="28"/>
      <c r="X218" s="28"/>
      <c r="Y218" s="28"/>
      <c r="AA218" s="30"/>
      <c r="AB218" s="30"/>
      <c r="AC218" s="30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T219" s="28"/>
      <c r="U219" s="28"/>
      <c r="V219" s="28"/>
      <c r="W219" s="28"/>
      <c r="X219" s="28"/>
      <c r="Y219" s="28"/>
      <c r="AA219" s="30"/>
      <c r="AB219" s="30"/>
      <c r="AC219" s="30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T220" s="28"/>
      <c r="U220" s="28"/>
      <c r="V220" s="28"/>
      <c r="W220" s="28"/>
      <c r="X220" s="28"/>
      <c r="Y220" s="28"/>
      <c r="AA220" s="30"/>
      <c r="AB220" s="30"/>
      <c r="AC220" s="30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T221" s="28"/>
      <c r="U221" s="28"/>
      <c r="V221" s="28"/>
      <c r="W221" s="28"/>
      <c r="X221" s="28"/>
      <c r="Y221" s="28"/>
      <c r="AA221" s="30"/>
      <c r="AB221" s="30"/>
      <c r="AC221" s="30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T222" s="28"/>
      <c r="U222" s="28"/>
      <c r="V222" s="28"/>
      <c r="W222" s="28"/>
      <c r="X222" s="28"/>
      <c r="Y222" s="28"/>
      <c r="AA222" s="30"/>
      <c r="AB222" s="30"/>
      <c r="AC222" s="30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T223" s="28"/>
      <c r="U223" s="28"/>
      <c r="V223" s="28"/>
      <c r="W223" s="28"/>
      <c r="X223" s="28"/>
      <c r="Y223" s="28"/>
      <c r="AA223" s="30"/>
      <c r="AB223" s="30"/>
      <c r="AC223" s="30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T224" s="28"/>
      <c r="U224" s="28"/>
      <c r="V224" s="28"/>
      <c r="W224" s="28"/>
      <c r="X224" s="28"/>
      <c r="Y224" s="28"/>
      <c r="AA224" s="30"/>
      <c r="AB224" s="30"/>
      <c r="AC224" s="30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T225" s="28"/>
      <c r="U225" s="28"/>
      <c r="V225" s="28"/>
      <c r="W225" s="28"/>
      <c r="X225" s="28"/>
      <c r="Y225" s="28"/>
      <c r="AA225" s="30"/>
      <c r="AB225" s="30"/>
      <c r="AC225" s="30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T226" s="28"/>
      <c r="U226" s="28"/>
      <c r="V226" s="28"/>
      <c r="W226" s="28"/>
      <c r="X226" s="28"/>
      <c r="Y226" s="28"/>
      <c r="AA226" s="30"/>
      <c r="AB226" s="30"/>
      <c r="AC226" s="30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T227" s="28"/>
      <c r="U227" s="28"/>
      <c r="V227" s="28"/>
      <c r="W227" s="28"/>
      <c r="X227" s="28"/>
      <c r="Y227" s="28"/>
      <c r="AA227" s="30"/>
      <c r="AB227" s="30"/>
      <c r="AC227" s="30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T228" s="28"/>
      <c r="U228" s="28"/>
      <c r="V228" s="28"/>
      <c r="W228" s="28"/>
      <c r="X228" s="28"/>
      <c r="Y228" s="28"/>
      <c r="AA228" s="30"/>
      <c r="AB228" s="30"/>
      <c r="AC228" s="30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T229" s="28"/>
      <c r="U229" s="28"/>
      <c r="V229" s="28"/>
      <c r="W229" s="28"/>
      <c r="X229" s="28"/>
      <c r="Y229" s="28"/>
      <c r="AA229" s="30"/>
      <c r="AB229" s="30"/>
      <c r="AC229" s="30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T230" s="28"/>
      <c r="U230" s="28"/>
      <c r="V230" s="28"/>
      <c r="W230" s="28"/>
      <c r="X230" s="28"/>
      <c r="Y230" s="28"/>
      <c r="AA230" s="30"/>
      <c r="AB230" s="30"/>
      <c r="AC230" s="30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T231" s="28"/>
      <c r="U231" s="28"/>
      <c r="V231" s="28"/>
      <c r="W231" s="28"/>
      <c r="X231" s="28"/>
      <c r="Y231" s="28"/>
      <c r="AA231" s="30"/>
      <c r="AB231" s="30"/>
      <c r="AC231" s="30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T232" s="28"/>
      <c r="U232" s="28"/>
      <c r="V232" s="28"/>
      <c r="W232" s="28"/>
      <c r="X232" s="28"/>
      <c r="Y232" s="28"/>
      <c r="AA232" s="30"/>
      <c r="AB232" s="30"/>
      <c r="AC232" s="30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T233" s="28"/>
      <c r="U233" s="28"/>
      <c r="V233" s="28"/>
      <c r="W233" s="28"/>
      <c r="X233" s="28"/>
      <c r="Y233" s="28"/>
      <c r="AA233" s="30"/>
      <c r="AB233" s="30"/>
      <c r="AC233" s="30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T234" s="28"/>
      <c r="U234" s="28"/>
      <c r="V234" s="28"/>
      <c r="W234" s="28"/>
      <c r="X234" s="28"/>
      <c r="Y234" s="28"/>
      <c r="AA234" s="30"/>
      <c r="AB234" s="30"/>
      <c r="AC234" s="30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T235" s="28"/>
      <c r="U235" s="28"/>
      <c r="V235" s="28"/>
      <c r="W235" s="28"/>
      <c r="X235" s="28"/>
      <c r="Y235" s="28"/>
      <c r="AA235" s="30"/>
      <c r="AB235" s="30"/>
      <c r="AC235" s="30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T236" s="28"/>
      <c r="U236" s="28"/>
      <c r="V236" s="28"/>
      <c r="W236" s="28"/>
      <c r="X236" s="28"/>
      <c r="Y236" s="28"/>
      <c r="AA236" s="30"/>
      <c r="AB236" s="30"/>
      <c r="AC236" s="30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T237" s="28"/>
      <c r="U237" s="28"/>
      <c r="V237" s="28"/>
      <c r="W237" s="28"/>
      <c r="X237" s="28"/>
      <c r="Y237" s="28"/>
      <c r="AA237" s="30"/>
      <c r="AB237" s="30"/>
      <c r="AC237" s="30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T238" s="28"/>
      <c r="U238" s="28"/>
      <c r="V238" s="28"/>
      <c r="W238" s="28"/>
      <c r="X238" s="28"/>
      <c r="Y238" s="28"/>
      <c r="AA238" s="30"/>
      <c r="AB238" s="30"/>
      <c r="AC238" s="30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T239" s="28"/>
      <c r="U239" s="28"/>
      <c r="V239" s="28"/>
      <c r="W239" s="28"/>
      <c r="X239" s="28"/>
      <c r="Y239" s="28"/>
      <c r="AA239" s="30"/>
      <c r="AB239" s="30"/>
      <c r="AC239" s="30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T240" s="28"/>
      <c r="U240" s="28"/>
      <c r="V240" s="28"/>
      <c r="W240" s="28"/>
      <c r="X240" s="28"/>
      <c r="Y240" s="28"/>
      <c r="AA240" s="30"/>
      <c r="AB240" s="30"/>
      <c r="AC240" s="30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T241" s="28"/>
      <c r="U241" s="28"/>
      <c r="V241" s="28"/>
      <c r="W241" s="28"/>
      <c r="X241" s="28"/>
      <c r="Y241" s="28"/>
      <c r="AA241" s="30"/>
      <c r="AB241" s="30"/>
      <c r="AC241" s="30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T242" s="28"/>
      <c r="U242" s="28"/>
      <c r="V242" s="28"/>
      <c r="W242" s="28"/>
      <c r="X242" s="28"/>
      <c r="Y242" s="28"/>
      <c r="AA242" s="30"/>
      <c r="AB242" s="30"/>
      <c r="AC242" s="30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T243" s="28"/>
      <c r="U243" s="28"/>
      <c r="V243" s="28"/>
      <c r="W243" s="28"/>
      <c r="X243" s="28"/>
      <c r="Y243" s="28"/>
      <c r="AA243" s="30"/>
      <c r="AB243" s="30"/>
      <c r="AC243" s="30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T244" s="28"/>
      <c r="U244" s="28"/>
      <c r="V244" s="28"/>
      <c r="W244" s="28"/>
      <c r="X244" s="28"/>
      <c r="Y244" s="28"/>
      <c r="AA244" s="30"/>
      <c r="AB244" s="30"/>
      <c r="AC244" s="30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T245" s="28"/>
      <c r="U245" s="28"/>
      <c r="V245" s="28"/>
      <c r="W245" s="28"/>
      <c r="X245" s="28"/>
      <c r="Y245" s="28"/>
      <c r="AA245" s="30"/>
      <c r="AB245" s="30"/>
      <c r="AC245" s="30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T246" s="28"/>
      <c r="U246" s="28"/>
      <c r="V246" s="28"/>
      <c r="W246" s="28"/>
      <c r="X246" s="28"/>
      <c r="Y246" s="28"/>
      <c r="AA246" s="30"/>
      <c r="AB246" s="30"/>
      <c r="AC246" s="30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T247" s="28"/>
      <c r="U247" s="28"/>
      <c r="V247" s="28"/>
      <c r="W247" s="28"/>
      <c r="X247" s="28"/>
      <c r="Y247" s="28"/>
      <c r="AA247" s="30"/>
      <c r="AB247" s="30"/>
      <c r="AC247" s="30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T248" s="28"/>
      <c r="U248" s="28"/>
      <c r="V248" s="28"/>
      <c r="W248" s="28"/>
      <c r="X248" s="28"/>
      <c r="Y248" s="28"/>
      <c r="AA248" s="30"/>
      <c r="AB248" s="30"/>
      <c r="AC248" s="30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T249" s="28"/>
      <c r="U249" s="28"/>
      <c r="V249" s="28"/>
      <c r="W249" s="28"/>
      <c r="X249" s="28"/>
      <c r="Y249" s="28"/>
      <c r="AA249" s="30"/>
      <c r="AB249" s="30"/>
      <c r="AC249" s="30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T250" s="28"/>
      <c r="U250" s="28"/>
      <c r="V250" s="28"/>
      <c r="W250" s="28"/>
      <c r="X250" s="28"/>
      <c r="Y250" s="28"/>
      <c r="AA250" s="30"/>
      <c r="AB250" s="30"/>
      <c r="AC250" s="30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T251" s="28"/>
      <c r="U251" s="28"/>
      <c r="V251" s="28"/>
      <c r="W251" s="28"/>
      <c r="X251" s="28"/>
      <c r="Y251" s="28"/>
      <c r="AA251" s="30"/>
      <c r="AB251" s="30"/>
      <c r="AC251" s="30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T252" s="28"/>
      <c r="U252" s="28"/>
      <c r="V252" s="28"/>
      <c r="W252" s="28"/>
      <c r="X252" s="28"/>
      <c r="Y252" s="28"/>
      <c r="AA252" s="30"/>
      <c r="AB252" s="30"/>
      <c r="AC252" s="30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T253" s="28"/>
      <c r="U253" s="28"/>
      <c r="V253" s="28"/>
      <c r="W253" s="28"/>
      <c r="X253" s="28"/>
      <c r="Y253" s="28"/>
      <c r="AA253" s="30"/>
      <c r="AB253" s="30"/>
      <c r="AC253" s="30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T254" s="28"/>
      <c r="U254" s="28"/>
      <c r="V254" s="28"/>
      <c r="W254" s="28"/>
      <c r="X254" s="28"/>
      <c r="Y254" s="28"/>
      <c r="AA254" s="30"/>
      <c r="AB254" s="30"/>
      <c r="AC254" s="30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T255" s="28"/>
      <c r="U255" s="28"/>
      <c r="V255" s="28"/>
      <c r="W255" s="28"/>
      <c r="X255" s="28"/>
      <c r="Y255" s="28"/>
      <c r="AA255" s="30"/>
      <c r="AB255" s="30"/>
      <c r="AC255" s="30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T256" s="28"/>
      <c r="U256" s="28"/>
      <c r="V256" s="28"/>
      <c r="W256" s="28"/>
      <c r="X256" s="28"/>
      <c r="Y256" s="28"/>
      <c r="AA256" s="30"/>
      <c r="AB256" s="30"/>
      <c r="AC256" s="30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T257" s="28"/>
      <c r="U257" s="28"/>
      <c r="V257" s="28"/>
      <c r="W257" s="28"/>
      <c r="X257" s="28"/>
      <c r="Y257" s="28"/>
      <c r="AA257" s="30"/>
      <c r="AB257" s="30"/>
      <c r="AC257" s="30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T258" s="28"/>
      <c r="U258" s="28"/>
      <c r="V258" s="28"/>
      <c r="W258" s="28"/>
      <c r="X258" s="28"/>
      <c r="Y258" s="28"/>
      <c r="AA258" s="30"/>
      <c r="AB258" s="30"/>
      <c r="AC258" s="30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T259" s="28"/>
      <c r="U259" s="28"/>
      <c r="V259" s="28"/>
      <c r="W259" s="28"/>
      <c r="X259" s="28"/>
      <c r="Y259" s="28"/>
      <c r="AA259" s="30"/>
      <c r="AB259" s="30"/>
      <c r="AC259" s="30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T260" s="28"/>
      <c r="U260" s="28"/>
      <c r="V260" s="28"/>
      <c r="W260" s="28"/>
      <c r="X260" s="28"/>
      <c r="Y260" s="28"/>
      <c r="AA260" s="30"/>
      <c r="AB260" s="30"/>
      <c r="AC260" s="30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T261" s="28"/>
      <c r="U261" s="28"/>
      <c r="V261" s="28"/>
      <c r="W261" s="28"/>
      <c r="X261" s="28"/>
      <c r="Y261" s="28"/>
      <c r="AA261" s="30"/>
      <c r="AB261" s="30"/>
      <c r="AC261" s="30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T262" s="28"/>
      <c r="U262" s="28"/>
      <c r="V262" s="28"/>
      <c r="W262" s="28"/>
      <c r="X262" s="28"/>
      <c r="Y262" s="28"/>
      <c r="AA262" s="30"/>
      <c r="AB262" s="30"/>
      <c r="AC262" s="30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T263" s="28"/>
      <c r="U263" s="28"/>
      <c r="V263" s="28"/>
      <c r="W263" s="28"/>
      <c r="X263" s="28"/>
      <c r="Y263" s="28"/>
      <c r="AA263" s="30"/>
      <c r="AB263" s="30"/>
      <c r="AC263" s="30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T264" s="28"/>
      <c r="U264" s="28"/>
      <c r="V264" s="28"/>
      <c r="W264" s="28"/>
      <c r="X264" s="28"/>
      <c r="Y264" s="28"/>
      <c r="AA264" s="30"/>
      <c r="AB264" s="30"/>
      <c r="AC264" s="30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T265" s="28"/>
      <c r="U265" s="28"/>
      <c r="V265" s="28"/>
      <c r="W265" s="28"/>
      <c r="X265" s="28"/>
      <c r="Y265" s="28"/>
      <c r="AA265" s="30"/>
      <c r="AB265" s="30"/>
      <c r="AC265" s="30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T266" s="28"/>
      <c r="U266" s="28"/>
      <c r="V266" s="28"/>
      <c r="W266" s="28"/>
      <c r="X266" s="28"/>
      <c r="Y266" s="28"/>
      <c r="AA266" s="30"/>
      <c r="AB266" s="30"/>
      <c r="AC266" s="30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T267" s="28"/>
      <c r="U267" s="28"/>
      <c r="V267" s="28"/>
      <c r="W267" s="28"/>
      <c r="X267" s="28"/>
      <c r="Y267" s="28"/>
      <c r="AA267" s="30"/>
      <c r="AB267" s="30"/>
      <c r="AC267" s="30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T268" s="28"/>
      <c r="U268" s="28"/>
      <c r="V268" s="28"/>
      <c r="W268" s="28"/>
      <c r="X268" s="28"/>
      <c r="Y268" s="28"/>
      <c r="AA268" s="30"/>
      <c r="AB268" s="30"/>
      <c r="AC268" s="30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T269" s="28"/>
      <c r="U269" s="28"/>
      <c r="V269" s="28"/>
      <c r="W269" s="28"/>
      <c r="X269" s="28"/>
      <c r="Y269" s="28"/>
      <c r="AA269" s="30"/>
      <c r="AB269" s="30"/>
      <c r="AC269" s="30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T270" s="28"/>
      <c r="U270" s="28"/>
      <c r="V270" s="28"/>
      <c r="W270" s="28"/>
      <c r="X270" s="28"/>
      <c r="Y270" s="28"/>
      <c r="AA270" s="30"/>
      <c r="AB270" s="30"/>
      <c r="AC270" s="30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T271" s="28"/>
      <c r="U271" s="28"/>
      <c r="V271" s="28"/>
      <c r="W271" s="28"/>
      <c r="X271" s="28"/>
      <c r="Y271" s="28"/>
      <c r="AA271" s="30"/>
      <c r="AB271" s="30"/>
      <c r="AC271" s="30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T272" s="28"/>
      <c r="U272" s="28"/>
      <c r="V272" s="28"/>
      <c r="W272" s="28"/>
      <c r="X272" s="28"/>
      <c r="Y272" s="28"/>
      <c r="AA272" s="30"/>
      <c r="AB272" s="30"/>
      <c r="AC272" s="30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T273" s="28"/>
      <c r="U273" s="28"/>
      <c r="V273" s="28"/>
      <c r="W273" s="28"/>
      <c r="X273" s="28"/>
      <c r="Y273" s="28"/>
      <c r="AA273" s="30"/>
      <c r="AB273" s="30"/>
      <c r="AC273" s="30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T274" s="28"/>
      <c r="U274" s="28"/>
      <c r="V274" s="28"/>
      <c r="W274" s="28"/>
      <c r="X274" s="28"/>
      <c r="Y274" s="28"/>
      <c r="AA274" s="30"/>
      <c r="AB274" s="30"/>
      <c r="AC274" s="30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T275" s="28"/>
      <c r="U275" s="28"/>
      <c r="V275" s="28"/>
      <c r="W275" s="28"/>
      <c r="X275" s="28"/>
      <c r="Y275" s="28"/>
      <c r="AA275" s="30"/>
      <c r="AB275" s="30"/>
      <c r="AC275" s="30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T276" s="28"/>
      <c r="U276" s="28"/>
      <c r="V276" s="28"/>
      <c r="W276" s="28"/>
      <c r="X276" s="28"/>
      <c r="Y276" s="28"/>
      <c r="AA276" s="30"/>
      <c r="AB276" s="30"/>
      <c r="AC276" s="30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T277" s="28"/>
      <c r="U277" s="28"/>
      <c r="V277" s="28"/>
      <c r="W277" s="28"/>
      <c r="X277" s="28"/>
      <c r="Y277" s="28"/>
      <c r="AA277" s="30"/>
      <c r="AB277" s="30"/>
      <c r="AC277" s="30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T278" s="28"/>
      <c r="U278" s="28"/>
      <c r="V278" s="28"/>
      <c r="W278" s="28"/>
      <c r="X278" s="28"/>
      <c r="Y278" s="28"/>
      <c r="AA278" s="30"/>
      <c r="AB278" s="30"/>
      <c r="AC278" s="30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T279" s="28"/>
      <c r="U279" s="28"/>
      <c r="V279" s="28"/>
      <c r="W279" s="28"/>
      <c r="X279" s="28"/>
      <c r="Y279" s="28"/>
      <c r="AA279" s="30"/>
      <c r="AB279" s="30"/>
      <c r="AC279" s="30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T280" s="28"/>
      <c r="U280" s="28"/>
      <c r="V280" s="28"/>
      <c r="W280" s="28"/>
      <c r="X280" s="28"/>
      <c r="Y280" s="28"/>
      <c r="AA280" s="30"/>
      <c r="AB280" s="30"/>
      <c r="AC280" s="30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</row>
  </sheetData>
  <conditionalFormatting sqref="A1:C1 Q1:Q169 R1:W280 X1:Y1 A3:C3 X3:Y280 Z3:AA3 AB3:AG280 A33:N33 A35:N35 A37:N37">
    <cfRule type="containsText" dxfId="0" priority="1" operator="containsText" text="Match found">
      <formula>NOT(ISERROR(SEARCH(("Match found"),(A1))))</formula>
    </cfRule>
  </conditionalFormatting>
  <hyperlinks>
    <hyperlink display="Input positions for SASA MDs" location="SASA_MD!A1" ref="A68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8.25"/>
    <col customWidth="1" min="3" max="3" width="13.38"/>
    <col customWidth="1" min="4" max="4" width="10.5"/>
    <col customWidth="1" min="5" max="5" width="13.0"/>
    <col customWidth="1" min="6" max="6" width="10.38"/>
    <col customWidth="1" min="7" max="7" width="11.38"/>
    <col customWidth="1" min="8" max="8" width="10.25"/>
    <col customWidth="1" min="9" max="9" width="16.63"/>
    <col customWidth="1" min="10" max="10" width="15.5"/>
    <col customWidth="1" min="11" max="11" width="12.0"/>
    <col customWidth="1" min="12" max="12" width="10.5"/>
    <col customWidth="1" min="13" max="13" width="8.25"/>
    <col customWidth="1" min="14" max="14" width="13.0"/>
    <col customWidth="1" min="15" max="15" width="14.0"/>
    <col customWidth="1" min="16" max="16" width="15.38"/>
    <col customWidth="1" min="17" max="17" width="16.5"/>
    <col customWidth="1" min="18" max="18" width="18.63"/>
    <col customWidth="1" min="19" max="19" width="21.38"/>
    <col customWidth="1" min="20" max="20" width="21.13"/>
    <col customWidth="1" min="21" max="21" width="21.38"/>
    <col customWidth="1" min="22" max="22" width="23.13"/>
    <col customWidth="1" min="25" max="25" width="14.5"/>
  </cols>
  <sheetData>
    <row r="1">
      <c r="A1" s="5" t="s">
        <v>23</v>
      </c>
      <c r="Q1" s="6" t="s">
        <v>24</v>
      </c>
      <c r="R1" s="7"/>
      <c r="S1" s="7"/>
      <c r="T1" s="8" t="s">
        <v>25</v>
      </c>
      <c r="U1" s="7"/>
      <c r="V1" s="7"/>
      <c r="W1" s="9"/>
      <c r="X1" s="10"/>
      <c r="Z1" s="11"/>
      <c r="AB1" s="12"/>
    </row>
    <row r="2">
      <c r="A2" s="2" t="s">
        <v>26</v>
      </c>
      <c r="Q2" s="7"/>
      <c r="R2" s="7"/>
      <c r="S2" s="7"/>
      <c r="T2" s="7"/>
      <c r="U2" s="7"/>
      <c r="V2" s="7"/>
    </row>
    <row r="3">
      <c r="A3" s="13" t="s">
        <v>27</v>
      </c>
      <c r="B3" s="13"/>
      <c r="C3" s="13"/>
      <c r="D3" s="14"/>
      <c r="E3" s="14"/>
      <c r="F3" s="15" t="s">
        <v>28</v>
      </c>
      <c r="G3" s="15"/>
      <c r="H3" s="15"/>
      <c r="I3" s="14"/>
      <c r="J3" s="14"/>
      <c r="K3" s="15" t="s">
        <v>29</v>
      </c>
      <c r="L3" s="15"/>
      <c r="M3" s="15"/>
      <c r="N3" s="14"/>
      <c r="O3" s="14"/>
      <c r="Q3" s="16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8" t="s">
        <v>32</v>
      </c>
      <c r="W3" s="19"/>
      <c r="X3" s="20"/>
      <c r="Y3" s="20"/>
    </row>
    <row r="4">
      <c r="A4" s="21" t="s">
        <v>33</v>
      </c>
      <c r="B4" s="22" t="s">
        <v>34</v>
      </c>
      <c r="C4" s="22" t="s">
        <v>35</v>
      </c>
      <c r="D4" s="22" t="s">
        <v>36</v>
      </c>
      <c r="E4" s="23" t="s">
        <v>37</v>
      </c>
      <c r="F4" s="21" t="s">
        <v>33</v>
      </c>
      <c r="G4" s="22" t="s">
        <v>34</v>
      </c>
      <c r="H4" s="22" t="s">
        <v>35</v>
      </c>
      <c r="I4" s="22" t="s">
        <v>36</v>
      </c>
      <c r="J4" s="23" t="s">
        <v>37</v>
      </c>
      <c r="K4" s="21" t="s">
        <v>33</v>
      </c>
      <c r="L4" s="22" t="s">
        <v>34</v>
      </c>
      <c r="M4" s="22" t="s">
        <v>35</v>
      </c>
      <c r="N4" s="22" t="s">
        <v>36</v>
      </c>
      <c r="O4" s="23" t="s">
        <v>37</v>
      </c>
      <c r="Q4" s="26"/>
      <c r="R4" s="55" t="s">
        <v>55</v>
      </c>
      <c r="S4" s="26"/>
      <c r="T4" s="37"/>
      <c r="U4" s="37"/>
      <c r="V4" s="27" t="s">
        <v>56</v>
      </c>
      <c r="W4" s="28"/>
      <c r="X4" s="28"/>
      <c r="Y4" s="28"/>
      <c r="AA4" s="29"/>
      <c r="AB4" s="29"/>
      <c r="AC4" s="30"/>
    </row>
    <row r="5">
      <c r="A5" s="31">
        <v>2.522</v>
      </c>
      <c r="B5" s="32">
        <v>19.904</v>
      </c>
      <c r="C5" s="32">
        <v>7.44</v>
      </c>
      <c r="D5" s="32" t="s">
        <v>3</v>
      </c>
      <c r="E5" s="33">
        <v>-0.254</v>
      </c>
      <c r="F5" s="31">
        <v>-14.789</v>
      </c>
      <c r="G5" s="32">
        <v>-10.758</v>
      </c>
      <c r="H5" s="32">
        <v>-9.171</v>
      </c>
      <c r="I5" s="32" t="s">
        <v>10</v>
      </c>
      <c r="J5" s="33">
        <v>-1.084</v>
      </c>
      <c r="K5" s="31">
        <v>16.492</v>
      </c>
      <c r="L5" s="32">
        <v>-32.239</v>
      </c>
      <c r="M5" s="32">
        <v>0.791</v>
      </c>
      <c r="N5" s="32" t="s">
        <v>4</v>
      </c>
      <c r="O5" s="33">
        <v>-1.49</v>
      </c>
      <c r="Q5" s="26"/>
      <c r="R5" s="55" t="s">
        <v>57</v>
      </c>
      <c r="S5" s="26"/>
      <c r="T5" s="37"/>
      <c r="U5" s="37"/>
      <c r="V5" s="37"/>
      <c r="W5" s="28"/>
      <c r="X5" s="28"/>
      <c r="Y5" s="28"/>
      <c r="AA5" s="29"/>
      <c r="AE5" s="30"/>
    </row>
    <row r="6">
      <c r="A6" s="34">
        <v>0.623</v>
      </c>
      <c r="B6" s="35">
        <v>20.369</v>
      </c>
      <c r="C6" s="35">
        <v>8.947</v>
      </c>
      <c r="D6" s="35" t="s">
        <v>10</v>
      </c>
      <c r="E6" s="36">
        <v>-0.229</v>
      </c>
      <c r="F6" s="34">
        <v>1.27</v>
      </c>
      <c r="G6" s="35">
        <v>7.431</v>
      </c>
      <c r="H6" s="35">
        <v>-8.252</v>
      </c>
      <c r="I6" s="35" t="s">
        <v>5</v>
      </c>
      <c r="J6" s="36">
        <v>-1.083</v>
      </c>
      <c r="K6" s="34">
        <v>25.024</v>
      </c>
      <c r="L6" s="35">
        <v>-11.413</v>
      </c>
      <c r="M6" s="35">
        <v>13.047</v>
      </c>
      <c r="N6" s="35" t="s">
        <v>10</v>
      </c>
      <c r="O6" s="36">
        <v>-1.456</v>
      </c>
      <c r="Q6" s="26"/>
      <c r="R6" s="26"/>
      <c r="S6" s="26"/>
      <c r="T6" s="37"/>
      <c r="U6" s="37"/>
      <c r="V6" s="37"/>
      <c r="W6" s="28"/>
      <c r="X6" s="28"/>
      <c r="Y6" s="28"/>
      <c r="AA6" s="29"/>
      <c r="AB6" s="29"/>
      <c r="AC6" s="30"/>
    </row>
    <row r="7">
      <c r="A7" s="34">
        <v>-0.541</v>
      </c>
      <c r="B7" s="35">
        <v>19.179</v>
      </c>
      <c r="C7" s="35">
        <v>5.922</v>
      </c>
      <c r="D7" s="35" t="s">
        <v>5</v>
      </c>
      <c r="E7" s="36">
        <v>-0.228</v>
      </c>
      <c r="F7" s="34">
        <v>-23.675</v>
      </c>
      <c r="G7" s="35">
        <v>18.771</v>
      </c>
      <c r="H7" s="35">
        <v>2.318</v>
      </c>
      <c r="I7" s="35" t="s">
        <v>2</v>
      </c>
      <c r="J7" s="36">
        <v>-1.037</v>
      </c>
      <c r="K7" s="34">
        <v>-7.079</v>
      </c>
      <c r="L7" s="35">
        <v>-2.863</v>
      </c>
      <c r="M7" s="35">
        <v>21.765</v>
      </c>
      <c r="N7" s="35" t="s">
        <v>11</v>
      </c>
      <c r="O7" s="36">
        <v>-1.421</v>
      </c>
      <c r="T7" s="28"/>
      <c r="U7" s="28"/>
      <c r="V7" s="28"/>
      <c r="W7" s="28"/>
      <c r="X7" s="28"/>
      <c r="Y7" s="28"/>
      <c r="AA7" s="29"/>
      <c r="AB7" s="29"/>
      <c r="AC7" s="30"/>
    </row>
    <row r="8">
      <c r="A8" s="34">
        <v>-15.829</v>
      </c>
      <c r="B8" s="35">
        <v>-18.445</v>
      </c>
      <c r="C8" s="35">
        <v>-12.446</v>
      </c>
      <c r="D8" s="35" t="s">
        <v>10</v>
      </c>
      <c r="E8" s="36">
        <v>-0.221</v>
      </c>
      <c r="F8" s="34">
        <v>-7.02</v>
      </c>
      <c r="G8" s="35">
        <v>21.026</v>
      </c>
      <c r="H8" s="35">
        <v>9.771</v>
      </c>
      <c r="I8" s="35" t="s">
        <v>8</v>
      </c>
      <c r="J8" s="36">
        <v>-1.037</v>
      </c>
      <c r="K8" s="34">
        <v>-13.843</v>
      </c>
      <c r="L8" s="35">
        <v>-8.089</v>
      </c>
      <c r="M8" s="35">
        <v>0.09</v>
      </c>
      <c r="N8" s="35" t="s">
        <v>10</v>
      </c>
      <c r="O8" s="36">
        <v>-1.413</v>
      </c>
      <c r="T8" s="28"/>
      <c r="U8" s="28"/>
      <c r="V8" s="28"/>
      <c r="W8" s="28"/>
      <c r="X8" s="28"/>
      <c r="Y8" s="28"/>
      <c r="AA8" s="29"/>
      <c r="AB8" s="29"/>
      <c r="AC8" s="30"/>
    </row>
    <row r="9">
      <c r="A9" s="34">
        <v>8.221</v>
      </c>
      <c r="B9" s="35">
        <v>-20.376</v>
      </c>
      <c r="C9" s="35">
        <v>-6.545</v>
      </c>
      <c r="D9" s="35" t="s">
        <v>4</v>
      </c>
      <c r="E9" s="36">
        <v>-0.216</v>
      </c>
      <c r="F9" s="34">
        <v>-7.387</v>
      </c>
      <c r="G9" s="35">
        <v>20.496</v>
      </c>
      <c r="H9" s="35">
        <v>10.111</v>
      </c>
      <c r="I9" s="35" t="s">
        <v>9</v>
      </c>
      <c r="J9" s="36">
        <v>-1.024</v>
      </c>
      <c r="K9" s="34">
        <v>-23.721</v>
      </c>
      <c r="L9" s="35">
        <v>29.305</v>
      </c>
      <c r="M9" s="35">
        <v>-8.925</v>
      </c>
      <c r="N9" s="35" t="s">
        <v>10</v>
      </c>
      <c r="O9" s="36">
        <v>-1.406</v>
      </c>
      <c r="T9" s="28"/>
      <c r="U9" s="28"/>
      <c r="V9" s="28"/>
      <c r="W9" s="28"/>
      <c r="X9" s="28"/>
      <c r="Y9" s="28"/>
      <c r="AA9" s="29"/>
      <c r="AB9" s="29"/>
      <c r="AC9" s="30"/>
    </row>
    <row r="10">
      <c r="A10" s="34">
        <v>2.39</v>
      </c>
      <c r="B10" s="35">
        <v>20.451</v>
      </c>
      <c r="C10" s="35">
        <v>6.842</v>
      </c>
      <c r="D10" s="35" t="s">
        <v>11</v>
      </c>
      <c r="E10" s="36">
        <v>-0.215</v>
      </c>
      <c r="F10" s="34">
        <v>-3.727</v>
      </c>
      <c r="G10" s="35">
        <v>-2.555</v>
      </c>
      <c r="H10" s="35">
        <v>14.492</v>
      </c>
      <c r="I10" s="35" t="s">
        <v>6</v>
      </c>
      <c r="J10" s="36">
        <v>-1.016</v>
      </c>
      <c r="K10" s="34">
        <v>16.766</v>
      </c>
      <c r="L10" s="35">
        <v>-31.232</v>
      </c>
      <c r="M10" s="35">
        <v>-3.58</v>
      </c>
      <c r="N10" s="35" t="s">
        <v>10</v>
      </c>
      <c r="O10" s="36">
        <v>-1.401</v>
      </c>
      <c r="T10" s="28"/>
      <c r="U10" s="28"/>
      <c r="V10" s="28"/>
      <c r="W10" s="28"/>
      <c r="X10" s="28"/>
      <c r="Y10" s="28"/>
      <c r="AA10" s="29"/>
      <c r="AB10" s="29"/>
      <c r="AC10" s="30"/>
    </row>
    <row r="11">
      <c r="A11" s="34">
        <v>8.258</v>
      </c>
      <c r="B11" s="35">
        <v>-19.708</v>
      </c>
      <c r="C11" s="35">
        <v>-6.556</v>
      </c>
      <c r="D11" s="35" t="s">
        <v>17</v>
      </c>
      <c r="E11" s="36">
        <v>-0.212</v>
      </c>
      <c r="F11" s="34">
        <v>-8.502</v>
      </c>
      <c r="G11" s="35">
        <v>9.739</v>
      </c>
      <c r="H11" s="35">
        <v>-9.108</v>
      </c>
      <c r="I11" s="35" t="s">
        <v>6</v>
      </c>
      <c r="J11" s="36">
        <v>-1.015</v>
      </c>
      <c r="K11" s="34">
        <v>-31.644</v>
      </c>
      <c r="L11" s="35">
        <v>4.792</v>
      </c>
      <c r="M11" s="35">
        <v>-6.804</v>
      </c>
      <c r="N11" s="35" t="s">
        <v>11</v>
      </c>
      <c r="O11" s="36">
        <v>-1.353</v>
      </c>
      <c r="Q11" s="2" t="s">
        <v>58</v>
      </c>
      <c r="T11" s="28"/>
      <c r="U11" s="28"/>
      <c r="V11" s="28"/>
      <c r="W11" s="28"/>
      <c r="X11" s="28"/>
      <c r="Y11" s="28"/>
      <c r="AA11" s="29"/>
      <c r="AB11" s="29"/>
      <c r="AC11" s="30"/>
    </row>
    <row r="12">
      <c r="A12" s="39">
        <v>-14.945</v>
      </c>
      <c r="B12" s="40">
        <v>-19.039</v>
      </c>
      <c r="C12" s="40">
        <v>-12.062</v>
      </c>
      <c r="D12" s="41" t="s">
        <v>11</v>
      </c>
      <c r="E12" s="42">
        <v>-0.211</v>
      </c>
      <c r="F12" s="34">
        <v>-8.17</v>
      </c>
      <c r="G12" s="35">
        <v>-1.21</v>
      </c>
      <c r="H12" s="35">
        <v>20.19</v>
      </c>
      <c r="I12" s="35" t="s">
        <v>12</v>
      </c>
      <c r="J12" s="36">
        <v>-1.007</v>
      </c>
      <c r="K12" s="34">
        <v>8.847</v>
      </c>
      <c r="L12" s="35">
        <v>-15.726</v>
      </c>
      <c r="M12" s="35">
        <v>15.704</v>
      </c>
      <c r="N12" s="35" t="s">
        <v>8</v>
      </c>
      <c r="O12" s="36">
        <v>-1.324</v>
      </c>
      <c r="T12" s="28"/>
      <c r="U12" s="28"/>
      <c r="V12" s="28"/>
      <c r="W12" s="28"/>
      <c r="X12" s="28"/>
      <c r="Y12" s="28"/>
      <c r="AA12" s="29"/>
      <c r="AB12" s="29"/>
      <c r="AC12" s="30"/>
    </row>
    <row r="13">
      <c r="A13" s="39">
        <v>7.692</v>
      </c>
      <c r="B13" s="40">
        <v>-19.767</v>
      </c>
      <c r="C13" s="40">
        <v>-7.711</v>
      </c>
      <c r="D13" s="41" t="s">
        <v>11</v>
      </c>
      <c r="E13" s="42">
        <v>-0.2</v>
      </c>
      <c r="F13" s="34">
        <v>2.23</v>
      </c>
      <c r="G13" s="35">
        <v>1.318</v>
      </c>
      <c r="H13" s="35">
        <v>7.375</v>
      </c>
      <c r="I13" s="35" t="s">
        <v>2</v>
      </c>
      <c r="J13" s="36">
        <v>-0.997</v>
      </c>
      <c r="K13" s="34">
        <v>17.917</v>
      </c>
      <c r="L13" s="35">
        <v>-1.518</v>
      </c>
      <c r="M13" s="35">
        <v>-6.067</v>
      </c>
      <c r="N13" s="35" t="s">
        <v>7</v>
      </c>
      <c r="O13" s="36">
        <v>-1.313</v>
      </c>
      <c r="T13" s="28"/>
      <c r="U13" s="28"/>
      <c r="V13" s="28"/>
      <c r="W13" s="28"/>
      <c r="X13" s="28"/>
      <c r="Y13" s="28"/>
      <c r="AA13" s="29"/>
      <c r="AB13" s="29"/>
      <c r="AC13" s="30"/>
    </row>
    <row r="14">
      <c r="A14" s="39">
        <v>0.657</v>
      </c>
      <c r="B14" s="40">
        <v>22.399</v>
      </c>
      <c r="C14" s="40">
        <v>-8.057</v>
      </c>
      <c r="D14" s="41" t="s">
        <v>15</v>
      </c>
      <c r="E14" s="42">
        <v>-0.192</v>
      </c>
      <c r="F14" s="34">
        <v>-21.802</v>
      </c>
      <c r="G14" s="35">
        <v>13.406</v>
      </c>
      <c r="H14" s="35">
        <v>6.798</v>
      </c>
      <c r="I14" s="35" t="s">
        <v>2</v>
      </c>
      <c r="J14" s="36">
        <v>-0.997</v>
      </c>
      <c r="K14" s="34">
        <v>6.743</v>
      </c>
      <c r="L14" s="35">
        <v>2.677</v>
      </c>
      <c r="M14" s="35">
        <v>13.128</v>
      </c>
      <c r="N14" s="35" t="s">
        <v>10</v>
      </c>
      <c r="O14" s="36">
        <v>-1.266</v>
      </c>
      <c r="T14" s="28"/>
      <c r="U14" s="28"/>
      <c r="V14" s="28"/>
      <c r="W14" s="28"/>
      <c r="X14" s="28"/>
      <c r="Y14" s="28"/>
      <c r="AA14" s="29"/>
      <c r="AB14" s="29"/>
      <c r="AC14" s="30"/>
    </row>
    <row r="15">
      <c r="A15" s="43">
        <v>-10.37</v>
      </c>
      <c r="B15" s="44">
        <v>-11.638</v>
      </c>
      <c r="C15" s="44">
        <v>-14.399</v>
      </c>
      <c r="D15" s="45" t="s">
        <v>7</v>
      </c>
      <c r="E15" s="46">
        <v>-0.191</v>
      </c>
      <c r="F15" s="47">
        <v>-15.015</v>
      </c>
      <c r="G15" s="25">
        <v>20.474</v>
      </c>
      <c r="H15" s="25">
        <v>-1.931</v>
      </c>
      <c r="I15" s="25" t="s">
        <v>11</v>
      </c>
      <c r="J15" s="48">
        <v>-0.995</v>
      </c>
      <c r="K15" s="47">
        <v>-28.666</v>
      </c>
      <c r="L15" s="25">
        <v>21.421</v>
      </c>
      <c r="M15" s="25">
        <v>2.366</v>
      </c>
      <c r="N15" s="25" t="s">
        <v>11</v>
      </c>
      <c r="O15" s="48">
        <v>-1.264</v>
      </c>
      <c r="P15" s="49"/>
      <c r="T15" s="28"/>
      <c r="U15" s="28"/>
      <c r="V15" s="28"/>
      <c r="W15" s="28"/>
      <c r="X15" s="28"/>
      <c r="Y15" s="28"/>
      <c r="AA15" s="29"/>
      <c r="AB15" s="29"/>
      <c r="AC15" s="30"/>
    </row>
    <row r="16">
      <c r="A16" s="43">
        <v>3.019</v>
      </c>
      <c r="B16" s="44">
        <v>20.684</v>
      </c>
      <c r="C16" s="44">
        <v>6.711</v>
      </c>
      <c r="D16" s="45" t="s">
        <v>5</v>
      </c>
      <c r="E16" s="46">
        <v>-0.191</v>
      </c>
      <c r="F16" s="47">
        <v>25.963</v>
      </c>
      <c r="G16" s="25">
        <v>-18.285</v>
      </c>
      <c r="H16" s="25">
        <v>5.891</v>
      </c>
      <c r="I16" s="25" t="s">
        <v>17</v>
      </c>
      <c r="J16" s="48">
        <v>-0.989</v>
      </c>
      <c r="K16" s="47">
        <v>2.03</v>
      </c>
      <c r="L16" s="25">
        <v>18.52</v>
      </c>
      <c r="M16" s="25">
        <v>9.576</v>
      </c>
      <c r="N16" s="25" t="s">
        <v>3</v>
      </c>
      <c r="O16" s="48">
        <v>-1.264</v>
      </c>
      <c r="P16" s="50"/>
      <c r="T16" s="28"/>
      <c r="U16" s="28"/>
      <c r="V16" s="28"/>
      <c r="W16" s="28"/>
      <c r="X16" s="28"/>
      <c r="Y16" s="28"/>
      <c r="AA16" s="29"/>
      <c r="AB16" s="29"/>
      <c r="AC16" s="30"/>
    </row>
    <row r="17">
      <c r="A17" s="47">
        <v>-10.315</v>
      </c>
      <c r="B17" s="25">
        <v>-11.754</v>
      </c>
      <c r="C17" s="25">
        <v>-12.78</v>
      </c>
      <c r="D17" s="25" t="s">
        <v>4</v>
      </c>
      <c r="E17" s="48">
        <v>-0.186</v>
      </c>
      <c r="F17" s="47">
        <v>-18.293</v>
      </c>
      <c r="G17" s="25">
        <v>2.011</v>
      </c>
      <c r="H17" s="25">
        <v>6.828</v>
      </c>
      <c r="I17" s="25" t="s">
        <v>7</v>
      </c>
      <c r="J17" s="48">
        <v>-0.988</v>
      </c>
      <c r="K17" s="51">
        <v>18.831</v>
      </c>
      <c r="L17" s="52">
        <v>-14.811</v>
      </c>
      <c r="M17" s="52">
        <v>-9.076</v>
      </c>
      <c r="N17" s="52" t="s">
        <v>10</v>
      </c>
      <c r="O17" s="53">
        <v>-1.256</v>
      </c>
      <c r="P17" s="25"/>
      <c r="T17" s="28"/>
      <c r="U17" s="28"/>
      <c r="V17" s="28"/>
      <c r="W17" s="28"/>
      <c r="X17" s="28"/>
      <c r="Y17" s="28"/>
      <c r="AA17" s="29"/>
      <c r="AB17" s="29"/>
      <c r="AC17" s="30"/>
    </row>
    <row r="18">
      <c r="A18" s="47">
        <v>-19.237</v>
      </c>
      <c r="B18" s="25">
        <v>6.421</v>
      </c>
      <c r="C18" s="25">
        <v>-19.406</v>
      </c>
      <c r="D18" s="25" t="s">
        <v>14</v>
      </c>
      <c r="E18" s="48">
        <v>-0.184</v>
      </c>
      <c r="F18" s="47">
        <v>-2.278</v>
      </c>
      <c r="G18" s="25">
        <v>10.477</v>
      </c>
      <c r="H18" s="25">
        <v>-2.73</v>
      </c>
      <c r="I18" s="25" t="s">
        <v>17</v>
      </c>
      <c r="J18" s="48">
        <v>-0.986</v>
      </c>
      <c r="K18" s="54">
        <v>12.823</v>
      </c>
      <c r="L18" s="55">
        <v>28.154</v>
      </c>
      <c r="M18" s="55">
        <v>-7.789</v>
      </c>
      <c r="N18" s="55" t="s">
        <v>15</v>
      </c>
      <c r="O18" s="48">
        <v>-1.254</v>
      </c>
      <c r="P18" s="25"/>
      <c r="T18" s="28"/>
      <c r="U18" s="28"/>
      <c r="V18" s="28"/>
      <c r="W18" s="28"/>
      <c r="X18" s="28"/>
      <c r="Y18" s="28"/>
      <c r="AA18" s="29"/>
      <c r="AB18" s="29"/>
      <c r="AC18" s="30"/>
    </row>
    <row r="19">
      <c r="A19" s="47">
        <v>-18.988</v>
      </c>
      <c r="B19" s="25">
        <v>6.554</v>
      </c>
      <c r="C19" s="25">
        <v>-19.07</v>
      </c>
      <c r="D19" s="25" t="s">
        <v>16</v>
      </c>
      <c r="E19" s="48">
        <v>-0.181</v>
      </c>
      <c r="F19" s="47">
        <v>-13.58</v>
      </c>
      <c r="G19" s="25">
        <v>-7.838</v>
      </c>
      <c r="H19" s="25">
        <v>6.813</v>
      </c>
      <c r="I19" s="25" t="s">
        <v>8</v>
      </c>
      <c r="J19" s="48">
        <v>-0.985</v>
      </c>
      <c r="K19" s="47">
        <v>-4.032</v>
      </c>
      <c r="L19" s="25">
        <v>7.245</v>
      </c>
      <c r="M19" s="25">
        <v>-12.994</v>
      </c>
      <c r="N19" s="25" t="s">
        <v>10</v>
      </c>
      <c r="O19" s="48">
        <v>-1.232</v>
      </c>
      <c r="P19" s="25"/>
      <c r="T19" s="28"/>
      <c r="U19" s="28"/>
      <c r="V19" s="28"/>
      <c r="W19" s="28"/>
      <c r="X19" s="28"/>
      <c r="Y19" s="28"/>
      <c r="AA19" s="29"/>
      <c r="AB19" s="29"/>
      <c r="AC19" s="30"/>
    </row>
    <row r="20">
      <c r="A20" s="47">
        <v>-11.256</v>
      </c>
      <c r="B20" s="25">
        <v>-4.728</v>
      </c>
      <c r="C20" s="25">
        <v>13.303</v>
      </c>
      <c r="D20" s="25" t="s">
        <v>6</v>
      </c>
      <c r="E20" s="48">
        <v>-0.179</v>
      </c>
      <c r="F20" s="47">
        <v>-7.959</v>
      </c>
      <c r="G20" s="25">
        <v>20.493</v>
      </c>
      <c r="H20" s="25">
        <v>10.464</v>
      </c>
      <c r="I20" s="25" t="s">
        <v>2</v>
      </c>
      <c r="J20" s="48">
        <v>-0.977</v>
      </c>
      <c r="K20" s="47">
        <v>-14.945</v>
      </c>
      <c r="L20" s="25">
        <v>-19.039</v>
      </c>
      <c r="M20" s="25">
        <v>-12.062</v>
      </c>
      <c r="N20" s="25" t="s">
        <v>11</v>
      </c>
      <c r="O20" s="48">
        <v>-1.228</v>
      </c>
      <c r="P20" s="25"/>
      <c r="T20" s="28"/>
      <c r="U20" s="28"/>
      <c r="V20" s="28"/>
      <c r="W20" s="28"/>
      <c r="X20" s="28"/>
      <c r="Y20" s="28"/>
      <c r="AA20" s="29"/>
      <c r="AB20" s="29"/>
      <c r="AC20" s="30"/>
    </row>
    <row r="21">
      <c r="A21" s="47">
        <v>1.088</v>
      </c>
      <c r="B21" s="25">
        <v>21.759</v>
      </c>
      <c r="C21" s="25">
        <v>-7.688</v>
      </c>
      <c r="D21" s="25" t="s">
        <v>5</v>
      </c>
      <c r="E21" s="48">
        <v>-0.178</v>
      </c>
      <c r="F21" s="47">
        <v>-4.462</v>
      </c>
      <c r="G21" s="25">
        <v>-0.666</v>
      </c>
      <c r="H21" s="25">
        <v>14.024</v>
      </c>
      <c r="I21" s="25" t="s">
        <v>7</v>
      </c>
      <c r="J21" s="48">
        <v>-0.968</v>
      </c>
      <c r="K21" s="47">
        <v>-14.804</v>
      </c>
      <c r="L21" s="25">
        <v>-20.114</v>
      </c>
      <c r="M21" s="25">
        <v>-17.489</v>
      </c>
      <c r="N21" s="25" t="s">
        <v>10</v>
      </c>
      <c r="O21" s="48">
        <v>-1.209</v>
      </c>
      <c r="P21" s="25"/>
      <c r="T21" s="28"/>
      <c r="U21" s="28"/>
      <c r="V21" s="28"/>
      <c r="W21" s="28"/>
      <c r="X21" s="28"/>
      <c r="Y21" s="28"/>
      <c r="AA21" s="29"/>
      <c r="AB21" s="29"/>
      <c r="AC21" s="30"/>
    </row>
    <row r="22">
      <c r="A22" s="47">
        <v>-2.899</v>
      </c>
      <c r="B22" s="25">
        <v>18.826</v>
      </c>
      <c r="C22" s="25">
        <v>6.595</v>
      </c>
      <c r="D22" s="25" t="s">
        <v>4</v>
      </c>
      <c r="E22" s="48">
        <v>-0.178</v>
      </c>
      <c r="F22" s="47">
        <v>-4.482</v>
      </c>
      <c r="G22" s="25">
        <v>-0.533</v>
      </c>
      <c r="H22" s="25">
        <v>14.227</v>
      </c>
      <c r="I22" s="25" t="s">
        <v>8</v>
      </c>
      <c r="J22" s="48">
        <v>-0.966</v>
      </c>
      <c r="K22" s="47">
        <v>-18.413</v>
      </c>
      <c r="L22" s="25">
        <v>-8.96</v>
      </c>
      <c r="M22" s="25">
        <v>-6.18</v>
      </c>
      <c r="N22" s="25" t="s">
        <v>8</v>
      </c>
      <c r="O22" s="48">
        <v>-1.176</v>
      </c>
      <c r="P22" s="25"/>
      <c r="T22" s="28"/>
      <c r="U22" s="28"/>
      <c r="V22" s="28"/>
      <c r="W22" s="28"/>
      <c r="X22" s="28"/>
      <c r="Y22" s="28"/>
      <c r="AA22" s="29"/>
      <c r="AB22" s="29"/>
      <c r="AC22" s="30"/>
    </row>
    <row r="23">
      <c r="A23" s="47">
        <v>-0.701</v>
      </c>
      <c r="B23" s="25">
        <v>18.075</v>
      </c>
      <c r="C23" s="25">
        <v>8.474</v>
      </c>
      <c r="D23" s="25" t="s">
        <v>9</v>
      </c>
      <c r="E23" s="48">
        <v>-0.17</v>
      </c>
      <c r="F23" s="47">
        <v>17.858</v>
      </c>
      <c r="G23" s="25">
        <v>-12.559</v>
      </c>
      <c r="H23" s="25">
        <v>-5.726</v>
      </c>
      <c r="I23" s="25" t="s">
        <v>8</v>
      </c>
      <c r="J23" s="48">
        <v>-0.964</v>
      </c>
      <c r="K23" s="47">
        <v>-32.117</v>
      </c>
      <c r="L23" s="25">
        <v>18.754</v>
      </c>
      <c r="M23" s="25">
        <v>-11.639</v>
      </c>
      <c r="N23" s="25" t="s">
        <v>11</v>
      </c>
      <c r="O23" s="48">
        <v>-1.139</v>
      </c>
      <c r="P23" s="25"/>
      <c r="T23" s="28"/>
      <c r="U23" s="28"/>
      <c r="V23" s="28"/>
      <c r="W23" s="28"/>
      <c r="X23" s="28"/>
      <c r="Y23" s="28"/>
      <c r="AA23" s="29"/>
      <c r="AB23" s="29"/>
      <c r="AC23" s="30"/>
    </row>
    <row r="24">
      <c r="A24" s="47">
        <v>-10.69</v>
      </c>
      <c r="B24" s="25">
        <v>7.933</v>
      </c>
      <c r="C24" s="25">
        <v>-25.602</v>
      </c>
      <c r="D24" s="25" t="s">
        <v>12</v>
      </c>
      <c r="E24" s="48">
        <v>-0.169</v>
      </c>
      <c r="F24" s="47">
        <v>-16.066</v>
      </c>
      <c r="G24" s="25">
        <v>0.674</v>
      </c>
      <c r="H24" s="25">
        <v>16.63</v>
      </c>
      <c r="I24" s="25" t="s">
        <v>6</v>
      </c>
      <c r="J24" s="48">
        <v>-0.963</v>
      </c>
      <c r="K24" s="47">
        <v>-11.616</v>
      </c>
      <c r="L24" s="25">
        <v>22.126</v>
      </c>
      <c r="M24" s="25">
        <v>19.816</v>
      </c>
      <c r="N24" s="25" t="s">
        <v>11</v>
      </c>
      <c r="O24" s="48">
        <v>-1.081</v>
      </c>
      <c r="P24" s="25"/>
      <c r="T24" s="28"/>
      <c r="U24" s="28"/>
      <c r="V24" s="28"/>
      <c r="W24" s="28"/>
      <c r="X24" s="28"/>
      <c r="Y24" s="28"/>
      <c r="AA24" s="29"/>
      <c r="AB24" s="29"/>
      <c r="AC24" s="30"/>
    </row>
    <row r="25">
      <c r="A25" s="47">
        <v>-33.56</v>
      </c>
      <c r="B25" s="25">
        <v>5.376</v>
      </c>
      <c r="C25" s="25">
        <v>-9.136</v>
      </c>
      <c r="D25" s="25" t="s">
        <v>11</v>
      </c>
      <c r="E25" s="48">
        <v>-0.168</v>
      </c>
      <c r="F25" s="47">
        <v>-11.864</v>
      </c>
      <c r="G25" s="25">
        <v>-8.647</v>
      </c>
      <c r="H25" s="25">
        <v>0.243</v>
      </c>
      <c r="I25" s="25" t="s">
        <v>15</v>
      </c>
      <c r="J25" s="48">
        <v>-0.962</v>
      </c>
      <c r="K25" s="47">
        <v>3.338</v>
      </c>
      <c r="L25" s="25">
        <v>17.134</v>
      </c>
      <c r="M25" s="25">
        <v>-1.377</v>
      </c>
      <c r="N25" s="25" t="s">
        <v>8</v>
      </c>
      <c r="O25" s="48">
        <v>-1.069</v>
      </c>
      <c r="P25" s="25"/>
      <c r="T25" s="28"/>
      <c r="U25" s="28"/>
      <c r="V25" s="28"/>
      <c r="W25" s="28"/>
      <c r="X25" s="28"/>
      <c r="Y25" s="28"/>
      <c r="AA25" s="29"/>
      <c r="AB25" s="29"/>
      <c r="AC25" s="30"/>
    </row>
    <row r="26">
      <c r="A26" s="47">
        <v>-26.93</v>
      </c>
      <c r="B26" s="25">
        <v>31.329</v>
      </c>
      <c r="C26" s="25">
        <v>-7.253</v>
      </c>
      <c r="D26" s="25" t="s">
        <v>10</v>
      </c>
      <c r="E26" s="48">
        <v>-0.168</v>
      </c>
      <c r="F26" s="47">
        <v>7.338</v>
      </c>
      <c r="G26" s="25">
        <v>-11.597</v>
      </c>
      <c r="H26" s="25">
        <v>15.192</v>
      </c>
      <c r="I26" s="25" t="s">
        <v>8</v>
      </c>
      <c r="J26" s="48">
        <v>-0.957</v>
      </c>
      <c r="K26" s="47">
        <v>-0.396</v>
      </c>
      <c r="L26" s="25">
        <v>18.259</v>
      </c>
      <c r="M26" s="25">
        <v>9.233</v>
      </c>
      <c r="N26" s="25" t="s">
        <v>9</v>
      </c>
      <c r="O26" s="48">
        <v>-1.068</v>
      </c>
      <c r="P26" s="25"/>
      <c r="T26" s="28"/>
      <c r="U26" s="28"/>
      <c r="V26" s="28"/>
      <c r="W26" s="28"/>
      <c r="X26" s="28"/>
      <c r="Y26" s="28"/>
      <c r="AA26" s="29"/>
      <c r="AB26" s="29"/>
      <c r="AC26" s="30"/>
    </row>
    <row r="27">
      <c r="A27" s="47">
        <v>-0.2</v>
      </c>
      <c r="B27" s="25">
        <v>19.794</v>
      </c>
      <c r="C27" s="25">
        <v>3.963</v>
      </c>
      <c r="D27" s="25" t="s">
        <v>8</v>
      </c>
      <c r="E27" s="48">
        <v>-0.167</v>
      </c>
      <c r="F27" s="47">
        <v>-15.879</v>
      </c>
      <c r="G27" s="25">
        <v>19.023</v>
      </c>
      <c r="H27" s="25">
        <v>-0.666</v>
      </c>
      <c r="I27" s="25" t="s">
        <v>3</v>
      </c>
      <c r="J27" s="48">
        <v>-0.955</v>
      </c>
      <c r="K27" s="56">
        <v>34.56</v>
      </c>
      <c r="L27" s="57">
        <v>-22.801</v>
      </c>
      <c r="M27" s="57">
        <v>0.955</v>
      </c>
      <c r="N27" s="57" t="s">
        <v>11</v>
      </c>
      <c r="O27" s="58">
        <v>-1.056</v>
      </c>
      <c r="P27" s="25"/>
      <c r="T27" s="28"/>
      <c r="U27" s="28"/>
      <c r="V27" s="28"/>
      <c r="W27" s="28"/>
      <c r="X27" s="28"/>
      <c r="Y27" s="28"/>
      <c r="AA27" s="29"/>
      <c r="AB27" s="29"/>
      <c r="AC27" s="30"/>
    </row>
    <row r="28">
      <c r="A28" s="47">
        <v>1.894</v>
      </c>
      <c r="B28" s="25">
        <v>25.822</v>
      </c>
      <c r="C28" s="25">
        <v>-6.471</v>
      </c>
      <c r="D28" s="25" t="s">
        <v>9</v>
      </c>
      <c r="E28" s="48">
        <v>-0.167</v>
      </c>
      <c r="F28" s="47">
        <v>-14.476</v>
      </c>
      <c r="G28" s="25">
        <v>-9.854</v>
      </c>
      <c r="H28" s="25">
        <v>-9.673</v>
      </c>
      <c r="I28" s="25" t="s">
        <v>4</v>
      </c>
      <c r="J28" s="48">
        <v>-0.95</v>
      </c>
      <c r="K28" s="56">
        <v>4.846</v>
      </c>
      <c r="L28" s="57">
        <v>-21.804</v>
      </c>
      <c r="M28" s="57">
        <v>-7.687</v>
      </c>
      <c r="N28" s="57" t="s">
        <v>11</v>
      </c>
      <c r="O28" s="58">
        <v>-1.053</v>
      </c>
      <c r="P28" s="25"/>
      <c r="T28" s="28"/>
      <c r="U28" s="28"/>
      <c r="V28" s="28"/>
      <c r="W28" s="28"/>
      <c r="X28" s="28"/>
      <c r="Y28" s="28"/>
      <c r="AA28" s="29"/>
      <c r="AB28" s="29"/>
      <c r="AC28" s="30"/>
    </row>
    <row r="29">
      <c r="A29" s="47">
        <v>0.201</v>
      </c>
      <c r="B29" s="25">
        <v>21.659</v>
      </c>
      <c r="C29" s="25">
        <v>-8.6</v>
      </c>
      <c r="D29" s="25" t="s">
        <v>11</v>
      </c>
      <c r="E29" s="48">
        <v>-0.167</v>
      </c>
      <c r="F29" s="47">
        <v>2.103</v>
      </c>
      <c r="G29" s="25">
        <v>0.331</v>
      </c>
      <c r="H29" s="25">
        <v>6.726</v>
      </c>
      <c r="I29" s="25" t="s">
        <v>9</v>
      </c>
      <c r="J29" s="48">
        <v>-0.947</v>
      </c>
      <c r="K29" s="56">
        <v>1.782</v>
      </c>
      <c r="L29" s="57">
        <v>18.699</v>
      </c>
      <c r="M29" s="57">
        <v>9.382</v>
      </c>
      <c r="N29" s="57" t="s">
        <v>10</v>
      </c>
      <c r="O29" s="58">
        <v>-1.015</v>
      </c>
      <c r="P29" s="25"/>
      <c r="T29" s="28"/>
      <c r="U29" s="28"/>
      <c r="V29" s="28"/>
      <c r="W29" s="28"/>
      <c r="X29" s="28"/>
      <c r="Y29" s="28"/>
      <c r="AA29" s="29"/>
      <c r="AB29" s="29"/>
      <c r="AC29" s="30"/>
    </row>
    <row r="30">
      <c r="A30" s="47">
        <v>4.739</v>
      </c>
      <c r="B30" s="25">
        <v>13.079</v>
      </c>
      <c r="C30" s="25">
        <v>-4.172</v>
      </c>
      <c r="D30" s="25" t="s">
        <v>4</v>
      </c>
      <c r="E30" s="48">
        <v>-0.166</v>
      </c>
      <c r="F30" s="47">
        <v>12.845</v>
      </c>
      <c r="G30" s="25">
        <v>25.848</v>
      </c>
      <c r="H30" s="25">
        <v>-7.635</v>
      </c>
      <c r="I30" s="25" t="s">
        <v>2</v>
      </c>
      <c r="J30" s="48">
        <v>-0.939</v>
      </c>
      <c r="K30" s="56">
        <v>4.766</v>
      </c>
      <c r="L30" s="57">
        <v>15.299</v>
      </c>
      <c r="M30" s="57">
        <v>-0.86</v>
      </c>
      <c r="N30" s="57" t="s">
        <v>11</v>
      </c>
      <c r="O30" s="58">
        <v>-1.001</v>
      </c>
      <c r="P30" s="25"/>
      <c r="T30" s="28"/>
      <c r="U30" s="28"/>
      <c r="V30" s="28"/>
      <c r="W30" s="28"/>
      <c r="X30" s="28"/>
      <c r="Y30" s="28"/>
      <c r="AA30" s="29"/>
      <c r="AB30" s="29"/>
      <c r="AC30" s="30"/>
    </row>
    <row r="31">
      <c r="A31" s="47">
        <v>13.278</v>
      </c>
      <c r="B31" s="25">
        <v>-20.521</v>
      </c>
      <c r="C31" s="25">
        <v>13.407</v>
      </c>
      <c r="D31" s="25" t="s">
        <v>11</v>
      </c>
      <c r="E31" s="48">
        <v>-0.166</v>
      </c>
      <c r="F31" s="47">
        <v>-12.639</v>
      </c>
      <c r="G31" s="25">
        <v>4.132</v>
      </c>
      <c r="H31" s="25">
        <v>-15.503</v>
      </c>
      <c r="I31" s="25" t="s">
        <v>15</v>
      </c>
      <c r="J31" s="48">
        <v>-0.938</v>
      </c>
      <c r="K31" s="47">
        <v>-17.637</v>
      </c>
      <c r="L31" s="25">
        <v>5.181</v>
      </c>
      <c r="M31" s="25">
        <v>-23.201</v>
      </c>
      <c r="N31" s="25" t="s">
        <v>16</v>
      </c>
      <c r="O31" s="48">
        <v>-0.999</v>
      </c>
      <c r="T31" s="28"/>
      <c r="U31" s="28"/>
      <c r="V31" s="28"/>
      <c r="W31" s="28"/>
      <c r="X31" s="28"/>
      <c r="Y31" s="28"/>
      <c r="AA31" s="29"/>
      <c r="AB31" s="29"/>
      <c r="AC31" s="30"/>
    </row>
    <row r="32">
      <c r="A32" s="47">
        <v>-32.844</v>
      </c>
      <c r="B32" s="25">
        <v>12.976</v>
      </c>
      <c r="C32" s="25">
        <v>-12.04</v>
      </c>
      <c r="D32" s="25" t="s">
        <v>9</v>
      </c>
      <c r="E32" s="48">
        <v>-0.164</v>
      </c>
      <c r="F32" s="47">
        <v>11.704</v>
      </c>
      <c r="G32" s="25">
        <v>-0.306</v>
      </c>
      <c r="H32" s="25">
        <v>5.961</v>
      </c>
      <c r="I32" s="25" t="s">
        <v>2</v>
      </c>
      <c r="J32" s="48">
        <v>-0.933</v>
      </c>
      <c r="K32" s="47">
        <v>-8.56</v>
      </c>
      <c r="L32" s="25">
        <v>27.894</v>
      </c>
      <c r="M32" s="25">
        <v>9.83</v>
      </c>
      <c r="N32" s="25" t="s">
        <v>10</v>
      </c>
      <c r="O32" s="48">
        <v>-0.99</v>
      </c>
      <c r="T32" s="28"/>
      <c r="U32" s="28"/>
      <c r="V32" s="28"/>
      <c r="W32" s="28"/>
      <c r="X32" s="28"/>
      <c r="Y32" s="28"/>
      <c r="AA32" s="29"/>
      <c r="AB32" s="29"/>
      <c r="AC32" s="30"/>
    </row>
    <row r="33">
      <c r="A33" s="47">
        <v>27.193</v>
      </c>
      <c r="B33" s="25">
        <v>-16.169</v>
      </c>
      <c r="C33" s="25">
        <v>13.798</v>
      </c>
      <c r="D33" s="25" t="s">
        <v>10</v>
      </c>
      <c r="E33" s="48">
        <v>-0.164</v>
      </c>
      <c r="F33" s="47">
        <v>3.882</v>
      </c>
      <c r="G33" s="25">
        <v>15.78</v>
      </c>
      <c r="H33" s="25">
        <v>-0.773</v>
      </c>
      <c r="I33" s="25" t="s">
        <v>9</v>
      </c>
      <c r="J33" s="48">
        <v>-0.933</v>
      </c>
      <c r="K33" s="47">
        <v>-21.71</v>
      </c>
      <c r="L33" s="25">
        <v>13.527</v>
      </c>
      <c r="M33" s="25">
        <v>6.816</v>
      </c>
      <c r="N33" s="25" t="s">
        <v>2</v>
      </c>
      <c r="O33" s="48">
        <v>-0.978</v>
      </c>
      <c r="T33" s="28"/>
      <c r="U33" s="28"/>
      <c r="V33" s="28"/>
      <c r="W33" s="28"/>
      <c r="X33" s="28"/>
      <c r="Y33" s="28"/>
      <c r="AA33" s="29"/>
      <c r="AB33" s="29"/>
      <c r="AC33" s="30"/>
    </row>
    <row r="34">
      <c r="A34" s="59">
        <v>-13.217</v>
      </c>
      <c r="B34" s="60">
        <v>-19.108</v>
      </c>
      <c r="C34" s="60">
        <v>-12.138</v>
      </c>
      <c r="D34" s="60" t="s">
        <v>11</v>
      </c>
      <c r="E34" s="61">
        <v>-0.164</v>
      </c>
      <c r="F34" s="59">
        <v>-15.279</v>
      </c>
      <c r="G34" s="60">
        <v>1.067</v>
      </c>
      <c r="H34" s="60">
        <v>16.706</v>
      </c>
      <c r="I34" s="60" t="s">
        <v>8</v>
      </c>
      <c r="J34" s="48">
        <v>-0.933</v>
      </c>
      <c r="K34" s="59">
        <v>-21.802</v>
      </c>
      <c r="L34" s="60">
        <v>13.406</v>
      </c>
      <c r="M34" s="60">
        <v>6.798</v>
      </c>
      <c r="N34" s="60" t="s">
        <v>2</v>
      </c>
      <c r="O34" s="61">
        <v>-0.956</v>
      </c>
      <c r="T34" s="28"/>
      <c r="U34" s="28"/>
      <c r="V34" s="28"/>
      <c r="W34" s="28"/>
      <c r="X34" s="28"/>
      <c r="Y34" s="28"/>
      <c r="AA34" s="29"/>
      <c r="AB34" s="29"/>
      <c r="AC34" s="30"/>
    </row>
    <row r="35">
      <c r="A35" s="13" t="s">
        <v>30</v>
      </c>
      <c r="B35" s="13"/>
      <c r="C35" s="13"/>
      <c r="D35" s="14"/>
      <c r="E35" s="14"/>
      <c r="F35" s="15" t="s">
        <v>31</v>
      </c>
      <c r="G35" s="15"/>
      <c r="H35" s="15"/>
      <c r="I35" s="14"/>
      <c r="J35" s="14"/>
      <c r="K35" s="15" t="s">
        <v>32</v>
      </c>
      <c r="L35" s="15"/>
      <c r="M35" s="15"/>
      <c r="N35" s="14"/>
      <c r="O35" s="14"/>
      <c r="T35" s="28"/>
      <c r="U35" s="28"/>
      <c r="V35" s="28"/>
      <c r="W35" s="28"/>
      <c r="X35" s="28"/>
      <c r="Y35" s="28"/>
      <c r="AA35" s="29"/>
      <c r="AB35" s="29"/>
      <c r="AC35" s="30"/>
    </row>
    <row r="36">
      <c r="A36" s="21" t="s">
        <v>33</v>
      </c>
      <c r="B36" s="22" t="s">
        <v>34</v>
      </c>
      <c r="C36" s="22" t="s">
        <v>35</v>
      </c>
      <c r="D36" s="22" t="s">
        <v>36</v>
      </c>
      <c r="E36" s="23" t="s">
        <v>37</v>
      </c>
      <c r="F36" s="21" t="s">
        <v>33</v>
      </c>
      <c r="G36" s="22" t="s">
        <v>34</v>
      </c>
      <c r="H36" s="22" t="s">
        <v>35</v>
      </c>
      <c r="I36" s="22" t="s">
        <v>36</v>
      </c>
      <c r="J36" s="23" t="s">
        <v>37</v>
      </c>
      <c r="K36" s="21" t="s">
        <v>33</v>
      </c>
      <c r="L36" s="22" t="s">
        <v>34</v>
      </c>
      <c r="M36" s="22" t="s">
        <v>35</v>
      </c>
      <c r="N36" s="22" t="s">
        <v>36</v>
      </c>
      <c r="O36" s="23" t="s">
        <v>37</v>
      </c>
      <c r="T36" s="28"/>
      <c r="U36" s="28"/>
      <c r="V36" s="28"/>
      <c r="W36" s="28"/>
      <c r="X36" s="28"/>
      <c r="Y36" s="28"/>
      <c r="AA36" s="29"/>
      <c r="AB36" s="29"/>
      <c r="AC36" s="30"/>
    </row>
    <row r="37">
      <c r="A37" s="31">
        <v>7.119</v>
      </c>
      <c r="B37" s="32">
        <v>3.729</v>
      </c>
      <c r="C37" s="32">
        <v>4.899</v>
      </c>
      <c r="D37" s="32" t="s">
        <v>5</v>
      </c>
      <c r="E37" s="33">
        <v>-1.15</v>
      </c>
      <c r="F37" s="31">
        <v>7.461</v>
      </c>
      <c r="G37" s="32">
        <v>2.776</v>
      </c>
      <c r="H37" s="32">
        <v>4.866</v>
      </c>
      <c r="I37" s="32" t="s">
        <v>2</v>
      </c>
      <c r="J37" s="33">
        <v>-1.37</v>
      </c>
      <c r="K37" s="31">
        <v>-12.539</v>
      </c>
      <c r="L37" s="32">
        <v>4.18</v>
      </c>
      <c r="M37" s="32">
        <v>-15.743</v>
      </c>
      <c r="N37" s="32" t="s">
        <v>15</v>
      </c>
      <c r="O37" s="33">
        <v>-0.8</v>
      </c>
      <c r="T37" s="28"/>
      <c r="U37" s="28"/>
      <c r="V37" s="28"/>
      <c r="W37" s="28"/>
      <c r="X37" s="28"/>
      <c r="Y37" s="28"/>
      <c r="AA37" s="29"/>
      <c r="AB37" s="29"/>
      <c r="AC37" s="30"/>
    </row>
    <row r="38">
      <c r="A38" s="34">
        <v>7.461</v>
      </c>
      <c r="B38" s="35">
        <v>2.776</v>
      </c>
      <c r="C38" s="35">
        <v>4.866</v>
      </c>
      <c r="D38" s="35" t="s">
        <v>2</v>
      </c>
      <c r="E38" s="36">
        <v>-1.141</v>
      </c>
      <c r="F38" s="34">
        <v>-12.104</v>
      </c>
      <c r="G38" s="35">
        <v>12.731</v>
      </c>
      <c r="H38" s="35">
        <v>10.504</v>
      </c>
      <c r="I38" s="35" t="s">
        <v>18</v>
      </c>
      <c r="J38" s="36">
        <v>-1.335</v>
      </c>
      <c r="K38" s="34">
        <v>14.667</v>
      </c>
      <c r="L38" s="35">
        <v>-20.09</v>
      </c>
      <c r="M38" s="35">
        <v>-4.886</v>
      </c>
      <c r="N38" s="35" t="s">
        <v>7</v>
      </c>
      <c r="O38" s="36">
        <v>-0.779</v>
      </c>
      <c r="T38" s="28"/>
      <c r="U38" s="28"/>
      <c r="V38" s="28"/>
      <c r="W38" s="28"/>
      <c r="X38" s="28"/>
      <c r="Y38" s="28"/>
      <c r="AA38" s="29"/>
      <c r="AB38" s="29"/>
      <c r="AC38" s="30"/>
    </row>
    <row r="39">
      <c r="A39" s="34">
        <v>-12.539</v>
      </c>
      <c r="B39" s="35">
        <v>4.18</v>
      </c>
      <c r="C39" s="35">
        <v>-15.743</v>
      </c>
      <c r="D39" s="35" t="s">
        <v>15</v>
      </c>
      <c r="E39" s="36">
        <v>-1.132</v>
      </c>
      <c r="F39" s="34">
        <v>7.119</v>
      </c>
      <c r="G39" s="35">
        <v>3.729</v>
      </c>
      <c r="H39" s="35">
        <v>4.899</v>
      </c>
      <c r="I39" s="35" t="s">
        <v>5</v>
      </c>
      <c r="J39" s="36">
        <v>-1.322</v>
      </c>
      <c r="K39" s="34">
        <v>15.909</v>
      </c>
      <c r="L39" s="35">
        <v>0.72</v>
      </c>
      <c r="M39" s="35">
        <v>9.253</v>
      </c>
      <c r="N39" s="35" t="s">
        <v>5</v>
      </c>
      <c r="O39" s="36">
        <v>-0.748</v>
      </c>
      <c r="T39" s="28"/>
      <c r="U39" s="28"/>
      <c r="V39" s="28"/>
      <c r="W39" s="28"/>
      <c r="X39" s="28"/>
      <c r="Y39" s="28"/>
      <c r="AA39" s="29"/>
      <c r="AB39" s="29"/>
      <c r="AC39" s="30"/>
    </row>
    <row r="40">
      <c r="A40" s="34">
        <v>-15.776</v>
      </c>
      <c r="B40" s="35">
        <v>-11.278</v>
      </c>
      <c r="C40" s="35">
        <v>11.2</v>
      </c>
      <c r="D40" s="35" t="s">
        <v>8</v>
      </c>
      <c r="E40" s="36">
        <v>-1.08</v>
      </c>
      <c r="F40" s="34">
        <v>-21.71</v>
      </c>
      <c r="G40" s="35">
        <v>13.527</v>
      </c>
      <c r="H40" s="35">
        <v>6.816</v>
      </c>
      <c r="I40" s="35" t="s">
        <v>2</v>
      </c>
      <c r="J40" s="36">
        <v>-1.305</v>
      </c>
      <c r="K40" s="34">
        <v>-0.704</v>
      </c>
      <c r="L40" s="35">
        <v>17.667</v>
      </c>
      <c r="M40" s="35">
        <v>9.309</v>
      </c>
      <c r="N40" s="35" t="s">
        <v>6</v>
      </c>
      <c r="O40" s="36">
        <v>-0.717</v>
      </c>
      <c r="T40" s="28"/>
      <c r="U40" s="28"/>
      <c r="V40" s="28"/>
      <c r="W40" s="28"/>
      <c r="X40" s="28"/>
      <c r="Y40" s="28"/>
      <c r="AA40" s="29"/>
      <c r="AB40" s="29"/>
      <c r="AC40" s="30"/>
    </row>
    <row r="41">
      <c r="A41" s="34">
        <v>-25.877</v>
      </c>
      <c r="B41" s="35">
        <v>3.694</v>
      </c>
      <c r="C41" s="35">
        <v>1.133</v>
      </c>
      <c r="D41" s="35" t="s">
        <v>8</v>
      </c>
      <c r="E41" s="36">
        <v>-1.053</v>
      </c>
      <c r="F41" s="34">
        <v>-21.72</v>
      </c>
      <c r="G41" s="35">
        <v>13.594</v>
      </c>
      <c r="H41" s="35">
        <v>6.739</v>
      </c>
      <c r="I41" s="35" t="s">
        <v>2</v>
      </c>
      <c r="J41" s="36">
        <v>-1.303</v>
      </c>
      <c r="K41" s="34">
        <v>-14.553</v>
      </c>
      <c r="L41" s="35">
        <v>17.882</v>
      </c>
      <c r="M41" s="35">
        <v>-21.122</v>
      </c>
      <c r="N41" s="35" t="s">
        <v>18</v>
      </c>
      <c r="O41" s="36">
        <v>-0.692</v>
      </c>
      <c r="T41" s="28"/>
      <c r="U41" s="28"/>
      <c r="V41" s="28"/>
      <c r="W41" s="28"/>
      <c r="X41" s="28"/>
      <c r="Y41" s="28"/>
      <c r="AA41" s="29"/>
      <c r="AB41" s="29"/>
      <c r="AC41" s="30"/>
    </row>
    <row r="42">
      <c r="A42" s="34">
        <v>12.101</v>
      </c>
      <c r="B42" s="35">
        <v>14.681</v>
      </c>
      <c r="C42" s="35">
        <v>-6.581</v>
      </c>
      <c r="D42" s="35" t="s">
        <v>15</v>
      </c>
      <c r="E42" s="36">
        <v>-1.038</v>
      </c>
      <c r="F42" s="34">
        <v>-1.673</v>
      </c>
      <c r="G42" s="35">
        <v>12.207</v>
      </c>
      <c r="H42" s="35">
        <v>10.878</v>
      </c>
      <c r="I42" s="35" t="s">
        <v>6</v>
      </c>
      <c r="J42" s="36">
        <v>-1.302</v>
      </c>
      <c r="K42" s="34">
        <v>-1.541</v>
      </c>
      <c r="L42" s="35">
        <v>9.218</v>
      </c>
      <c r="M42" s="35">
        <v>-2.767</v>
      </c>
      <c r="N42" s="35" t="s">
        <v>4</v>
      </c>
      <c r="O42" s="36">
        <v>-0.687</v>
      </c>
      <c r="T42" s="28"/>
      <c r="U42" s="28"/>
      <c r="V42" s="28"/>
      <c r="W42" s="28"/>
      <c r="X42" s="28"/>
      <c r="Y42" s="28"/>
      <c r="AA42" s="29"/>
      <c r="AB42" s="29"/>
      <c r="AC42" s="30"/>
    </row>
    <row r="43">
      <c r="A43" s="34">
        <v>-14.537</v>
      </c>
      <c r="B43" s="35">
        <v>1.964</v>
      </c>
      <c r="C43" s="35">
        <v>-15.758</v>
      </c>
      <c r="D43" s="35" t="s">
        <v>15</v>
      </c>
      <c r="E43" s="36">
        <v>-1.038</v>
      </c>
      <c r="F43" s="34">
        <v>-15.582</v>
      </c>
      <c r="G43" s="35">
        <v>3.716</v>
      </c>
      <c r="H43" s="35">
        <v>0.2</v>
      </c>
      <c r="I43" s="35" t="s">
        <v>6</v>
      </c>
      <c r="J43" s="36">
        <v>-1.289</v>
      </c>
      <c r="K43" s="34">
        <v>-15.654</v>
      </c>
      <c r="L43" s="35">
        <v>-12.242</v>
      </c>
      <c r="M43" s="35">
        <v>-8.304</v>
      </c>
      <c r="N43" s="35" t="s">
        <v>10</v>
      </c>
      <c r="O43" s="36">
        <v>-0.678</v>
      </c>
      <c r="T43" s="28"/>
      <c r="U43" s="28"/>
      <c r="V43" s="28"/>
      <c r="W43" s="28"/>
      <c r="X43" s="28"/>
      <c r="Y43" s="28"/>
      <c r="AA43" s="29"/>
      <c r="AB43" s="29"/>
      <c r="AC43" s="30"/>
    </row>
    <row r="44">
      <c r="A44" s="39">
        <v>-11.524</v>
      </c>
      <c r="B44" s="40">
        <v>-12.873</v>
      </c>
      <c r="C44" s="40">
        <v>-2.301</v>
      </c>
      <c r="D44" s="41" t="s">
        <v>16</v>
      </c>
      <c r="E44" s="42">
        <v>-1.034</v>
      </c>
      <c r="F44" s="34">
        <v>2.438</v>
      </c>
      <c r="G44" s="35">
        <v>13.906</v>
      </c>
      <c r="H44" s="35">
        <v>11.592</v>
      </c>
      <c r="I44" s="35" t="s">
        <v>5</v>
      </c>
      <c r="J44" s="36">
        <v>-1.279</v>
      </c>
      <c r="K44" s="34">
        <v>-1.674</v>
      </c>
      <c r="L44" s="35">
        <v>-11.656</v>
      </c>
      <c r="M44" s="35">
        <v>-3.814</v>
      </c>
      <c r="N44" s="35" t="s">
        <v>13</v>
      </c>
      <c r="O44" s="36">
        <v>-0.675</v>
      </c>
      <c r="T44" s="28"/>
      <c r="U44" s="28"/>
      <c r="V44" s="28"/>
      <c r="W44" s="28"/>
      <c r="X44" s="28"/>
      <c r="Y44" s="28"/>
      <c r="AA44" s="29"/>
      <c r="AB44" s="29"/>
      <c r="AC44" s="30"/>
    </row>
    <row r="45">
      <c r="A45" s="39">
        <v>-19.932</v>
      </c>
      <c r="B45" s="40">
        <v>-5.033</v>
      </c>
      <c r="C45" s="40">
        <v>-0.141</v>
      </c>
      <c r="D45" s="41" t="s">
        <v>12</v>
      </c>
      <c r="E45" s="42">
        <v>-1.032</v>
      </c>
      <c r="F45" s="34">
        <v>-12.816</v>
      </c>
      <c r="G45" s="35">
        <v>3.696</v>
      </c>
      <c r="H45" s="35">
        <v>-14.106</v>
      </c>
      <c r="I45" s="35" t="s">
        <v>15</v>
      </c>
      <c r="J45" s="36">
        <v>-1.275</v>
      </c>
      <c r="K45" s="34">
        <v>-11.378</v>
      </c>
      <c r="L45" s="35">
        <v>25.696</v>
      </c>
      <c r="M45" s="35">
        <v>-6.004</v>
      </c>
      <c r="N45" s="35" t="s">
        <v>9</v>
      </c>
      <c r="O45" s="36">
        <v>-0.675</v>
      </c>
      <c r="T45" s="28"/>
      <c r="U45" s="28"/>
      <c r="V45" s="28"/>
      <c r="W45" s="28"/>
      <c r="X45" s="28"/>
      <c r="Y45" s="28"/>
      <c r="AA45" s="29"/>
      <c r="AB45" s="29"/>
      <c r="AC45" s="30"/>
    </row>
    <row r="46">
      <c r="A46" s="39">
        <v>-5.487</v>
      </c>
      <c r="B46" s="40">
        <v>27.18</v>
      </c>
      <c r="C46" s="40">
        <v>10.638</v>
      </c>
      <c r="D46" s="41" t="s">
        <v>8</v>
      </c>
      <c r="E46" s="42">
        <v>-1.018</v>
      </c>
      <c r="F46" s="34">
        <v>-4.395</v>
      </c>
      <c r="G46" s="35">
        <v>16.068</v>
      </c>
      <c r="H46" s="35">
        <v>-3.67</v>
      </c>
      <c r="I46" s="35" t="s">
        <v>15</v>
      </c>
      <c r="J46" s="36">
        <v>-1.274</v>
      </c>
      <c r="K46" s="34">
        <v>1.871</v>
      </c>
      <c r="L46" s="35">
        <v>12.015</v>
      </c>
      <c r="M46" s="35">
        <v>12.628</v>
      </c>
      <c r="N46" s="35" t="s">
        <v>5</v>
      </c>
      <c r="O46" s="36">
        <v>-0.663</v>
      </c>
      <c r="T46" s="28"/>
      <c r="U46" s="28"/>
      <c r="V46" s="28"/>
      <c r="W46" s="28"/>
      <c r="X46" s="28"/>
      <c r="Y46" s="28"/>
      <c r="AA46" s="29"/>
      <c r="AB46" s="29"/>
      <c r="AC46" s="30"/>
    </row>
    <row r="47">
      <c r="A47" s="43">
        <v>2.304</v>
      </c>
      <c r="B47" s="44">
        <v>13.982</v>
      </c>
      <c r="C47" s="44">
        <v>11.286</v>
      </c>
      <c r="D47" s="45" t="s">
        <v>5</v>
      </c>
      <c r="E47" s="46">
        <v>-1.016</v>
      </c>
      <c r="F47" s="47">
        <v>-2.124</v>
      </c>
      <c r="G47" s="25">
        <v>8.779</v>
      </c>
      <c r="H47" s="25">
        <v>11.333</v>
      </c>
      <c r="I47" s="25" t="s">
        <v>9</v>
      </c>
      <c r="J47" s="48">
        <v>-1.272</v>
      </c>
      <c r="K47" s="47">
        <v>-19.98</v>
      </c>
      <c r="L47" s="25">
        <v>22.846</v>
      </c>
      <c r="M47" s="25">
        <v>3.994</v>
      </c>
      <c r="N47" s="25" t="s">
        <v>16</v>
      </c>
      <c r="O47" s="48">
        <v>-0.657</v>
      </c>
      <c r="T47" s="28"/>
      <c r="U47" s="28"/>
      <c r="V47" s="28"/>
      <c r="W47" s="28"/>
      <c r="X47" s="28"/>
      <c r="Y47" s="28"/>
      <c r="AA47" s="29"/>
      <c r="AB47" s="29"/>
      <c r="AC47" s="30"/>
    </row>
    <row r="48">
      <c r="A48" s="43">
        <v>14.667</v>
      </c>
      <c r="B48" s="44">
        <v>-20.09</v>
      </c>
      <c r="C48" s="44">
        <v>-4.886</v>
      </c>
      <c r="D48" s="45" t="s">
        <v>7</v>
      </c>
      <c r="E48" s="46">
        <v>-0.995</v>
      </c>
      <c r="F48" s="47">
        <v>12.755</v>
      </c>
      <c r="G48" s="25">
        <v>-8.744</v>
      </c>
      <c r="H48" s="25">
        <v>10.153</v>
      </c>
      <c r="I48" s="25" t="s">
        <v>8</v>
      </c>
      <c r="J48" s="48">
        <v>-1.271</v>
      </c>
      <c r="K48" s="47">
        <v>4.698</v>
      </c>
      <c r="L48" s="25">
        <v>-7.955</v>
      </c>
      <c r="M48" s="25">
        <v>-6.524</v>
      </c>
      <c r="N48" s="25" t="s">
        <v>21</v>
      </c>
      <c r="O48" s="48">
        <v>-0.655</v>
      </c>
      <c r="T48" s="28"/>
      <c r="U48" s="28"/>
      <c r="V48" s="28"/>
      <c r="W48" s="28"/>
      <c r="X48" s="28"/>
      <c r="Y48" s="28"/>
      <c r="AA48" s="29"/>
      <c r="AB48" s="29"/>
      <c r="AC48" s="30"/>
    </row>
    <row r="49">
      <c r="A49" s="47">
        <v>-15.56</v>
      </c>
      <c r="B49" s="25">
        <v>16.827</v>
      </c>
      <c r="C49" s="25">
        <v>-23.787</v>
      </c>
      <c r="D49" s="25" t="s">
        <v>18</v>
      </c>
      <c r="E49" s="48">
        <v>-0.979</v>
      </c>
      <c r="F49" s="47">
        <v>-2.069</v>
      </c>
      <c r="G49" s="25">
        <v>11.704</v>
      </c>
      <c r="H49" s="25">
        <v>11.016</v>
      </c>
      <c r="I49" s="25" t="s">
        <v>7</v>
      </c>
      <c r="J49" s="48">
        <v>-1.266</v>
      </c>
      <c r="K49" s="51">
        <v>-2.078</v>
      </c>
      <c r="L49" s="52">
        <v>-12.101</v>
      </c>
      <c r="M49" s="52">
        <v>-4.832</v>
      </c>
      <c r="N49" s="62" t="s">
        <v>13</v>
      </c>
      <c r="O49" s="63">
        <v>-0.652</v>
      </c>
      <c r="T49" s="28"/>
      <c r="U49" s="28"/>
      <c r="V49" s="28"/>
      <c r="W49" s="28"/>
      <c r="X49" s="28"/>
      <c r="Y49" s="28"/>
      <c r="AA49" s="29"/>
      <c r="AB49" s="29"/>
      <c r="AC49" s="30"/>
    </row>
    <row r="50">
      <c r="A50" s="47">
        <v>-12.104</v>
      </c>
      <c r="B50" s="25">
        <v>12.731</v>
      </c>
      <c r="C50" s="25">
        <v>10.504</v>
      </c>
      <c r="D50" s="25" t="s">
        <v>18</v>
      </c>
      <c r="E50" s="48">
        <v>-0.967</v>
      </c>
      <c r="F50" s="47">
        <v>-2.052</v>
      </c>
      <c r="G50" s="25">
        <v>9.149</v>
      </c>
      <c r="H50" s="25">
        <v>11.264</v>
      </c>
      <c r="I50" s="25" t="s">
        <v>19</v>
      </c>
      <c r="J50" s="48">
        <v>-1.265</v>
      </c>
      <c r="K50" s="47">
        <v>-13.134</v>
      </c>
      <c r="L50" s="25">
        <v>3.656</v>
      </c>
      <c r="M50" s="25">
        <v>-14.262</v>
      </c>
      <c r="N50" s="25" t="s">
        <v>15</v>
      </c>
      <c r="O50" s="48">
        <v>-0.649</v>
      </c>
      <c r="T50" s="28"/>
      <c r="U50" s="28"/>
      <c r="V50" s="28"/>
      <c r="W50" s="28"/>
      <c r="X50" s="28"/>
      <c r="Y50" s="28"/>
      <c r="AA50" s="29"/>
      <c r="AB50" s="29"/>
      <c r="AC50" s="30"/>
    </row>
    <row r="51">
      <c r="A51" s="47">
        <v>12.755</v>
      </c>
      <c r="B51" s="25">
        <v>-8.744</v>
      </c>
      <c r="C51" s="25">
        <v>10.153</v>
      </c>
      <c r="D51" s="25" t="s">
        <v>8</v>
      </c>
      <c r="E51" s="48">
        <v>-0.966</v>
      </c>
      <c r="F51" s="47">
        <v>-15.345</v>
      </c>
      <c r="G51" s="25">
        <v>3.474</v>
      </c>
      <c r="H51" s="25">
        <v>0.58</v>
      </c>
      <c r="I51" s="25" t="s">
        <v>7</v>
      </c>
      <c r="J51" s="48">
        <v>-1.263</v>
      </c>
      <c r="K51" s="47">
        <v>7.978</v>
      </c>
      <c r="L51" s="25">
        <v>10.385</v>
      </c>
      <c r="M51" s="25">
        <v>12.475</v>
      </c>
      <c r="N51" s="25" t="s">
        <v>10</v>
      </c>
      <c r="O51" s="48">
        <v>-0.645</v>
      </c>
      <c r="T51" s="28"/>
      <c r="U51" s="28"/>
      <c r="V51" s="28"/>
      <c r="W51" s="28"/>
      <c r="X51" s="28"/>
      <c r="Y51" s="28"/>
      <c r="AA51" s="29"/>
      <c r="AB51" s="29"/>
      <c r="AC51" s="30"/>
    </row>
    <row r="52">
      <c r="A52" s="47">
        <v>-1.673</v>
      </c>
      <c r="B52" s="25">
        <v>12.207</v>
      </c>
      <c r="C52" s="25">
        <v>10.878</v>
      </c>
      <c r="D52" s="25" t="s">
        <v>6</v>
      </c>
      <c r="E52" s="48">
        <v>-0.964</v>
      </c>
      <c r="F52" s="47">
        <v>15.234</v>
      </c>
      <c r="G52" s="25">
        <v>-14.405</v>
      </c>
      <c r="H52" s="25">
        <v>6.462</v>
      </c>
      <c r="I52" s="25" t="s">
        <v>6</v>
      </c>
      <c r="J52" s="48">
        <v>-1.262</v>
      </c>
      <c r="K52" s="47">
        <v>10.507</v>
      </c>
      <c r="L52" s="25">
        <v>15.107</v>
      </c>
      <c r="M52" s="25">
        <v>-7.864</v>
      </c>
      <c r="N52" s="25" t="s">
        <v>15</v>
      </c>
      <c r="O52" s="48">
        <v>-0.642</v>
      </c>
      <c r="T52" s="28"/>
      <c r="U52" s="28"/>
      <c r="V52" s="28"/>
      <c r="W52" s="28"/>
      <c r="X52" s="28"/>
      <c r="Y52" s="28"/>
      <c r="AA52" s="29"/>
      <c r="AB52" s="29"/>
      <c r="AC52" s="30"/>
    </row>
    <row r="53">
      <c r="A53" s="47">
        <v>11.32</v>
      </c>
      <c r="B53" s="25">
        <v>-8.059</v>
      </c>
      <c r="C53" s="25">
        <v>11.277</v>
      </c>
      <c r="D53" s="25" t="s">
        <v>7</v>
      </c>
      <c r="E53" s="48">
        <v>-0.961</v>
      </c>
      <c r="F53" s="47">
        <v>11.637</v>
      </c>
      <c r="G53" s="25">
        <v>-8.329</v>
      </c>
      <c r="H53" s="25">
        <v>11.412</v>
      </c>
      <c r="I53" s="25" t="s">
        <v>5</v>
      </c>
      <c r="J53" s="48">
        <v>-1.251</v>
      </c>
      <c r="K53" s="47">
        <v>14.606</v>
      </c>
      <c r="L53" s="25">
        <v>13.637</v>
      </c>
      <c r="M53" s="25">
        <v>1.515</v>
      </c>
      <c r="N53" s="25" t="s">
        <v>14</v>
      </c>
      <c r="O53" s="48">
        <v>-0.642</v>
      </c>
      <c r="T53" s="28"/>
      <c r="U53" s="28"/>
      <c r="V53" s="28"/>
      <c r="W53" s="28"/>
      <c r="X53" s="28"/>
      <c r="Y53" s="28"/>
      <c r="AA53" s="29"/>
      <c r="AB53" s="29"/>
      <c r="AC53" s="30"/>
    </row>
    <row r="54">
      <c r="A54" s="47">
        <v>-1.71</v>
      </c>
      <c r="B54" s="25">
        <v>9.917</v>
      </c>
      <c r="C54" s="25">
        <v>11.188</v>
      </c>
      <c r="D54" s="25" t="s">
        <v>7</v>
      </c>
      <c r="E54" s="48">
        <v>-0.957</v>
      </c>
      <c r="F54" s="47">
        <v>-3.281</v>
      </c>
      <c r="G54" s="25">
        <v>14.787</v>
      </c>
      <c r="H54" s="25">
        <v>-3.234</v>
      </c>
      <c r="I54" s="25" t="s">
        <v>17</v>
      </c>
      <c r="J54" s="48">
        <v>-1.247</v>
      </c>
      <c r="K54" s="47">
        <v>-10.949</v>
      </c>
      <c r="L54" s="25">
        <v>18.031</v>
      </c>
      <c r="M54" s="25">
        <v>7.275</v>
      </c>
      <c r="N54" s="25" t="s">
        <v>18</v>
      </c>
      <c r="O54" s="48">
        <v>-0.642</v>
      </c>
      <c r="T54" s="28"/>
      <c r="U54" s="28"/>
      <c r="V54" s="28"/>
      <c r="W54" s="28"/>
      <c r="X54" s="28"/>
      <c r="Y54" s="28"/>
      <c r="AA54" s="29"/>
      <c r="AB54" s="29"/>
      <c r="AC54" s="30"/>
    </row>
    <row r="55">
      <c r="A55" s="47">
        <v>-4.395</v>
      </c>
      <c r="B55" s="25">
        <v>16.068</v>
      </c>
      <c r="C55" s="25">
        <v>-3.67</v>
      </c>
      <c r="D55" s="25" t="s">
        <v>15</v>
      </c>
      <c r="E55" s="48">
        <v>-0.955</v>
      </c>
      <c r="F55" s="47">
        <v>15.165</v>
      </c>
      <c r="G55" s="25">
        <v>-14.551</v>
      </c>
      <c r="H55" s="25">
        <v>6.653</v>
      </c>
      <c r="I55" s="25" t="s">
        <v>7</v>
      </c>
      <c r="J55" s="48">
        <v>-1.247</v>
      </c>
      <c r="K55" s="47">
        <v>-21.71</v>
      </c>
      <c r="L55" s="25">
        <v>13.527</v>
      </c>
      <c r="M55" s="25">
        <v>6.816</v>
      </c>
      <c r="N55" s="25" t="s">
        <v>2</v>
      </c>
      <c r="O55" s="48">
        <v>-0.641</v>
      </c>
      <c r="T55" s="28"/>
      <c r="U55" s="28"/>
      <c r="V55" s="28"/>
      <c r="W55" s="28"/>
      <c r="X55" s="28"/>
      <c r="Y55" s="28"/>
      <c r="AA55" s="29"/>
      <c r="AB55" s="29"/>
      <c r="AC55" s="30"/>
    </row>
    <row r="56">
      <c r="A56" s="47">
        <v>-15.582</v>
      </c>
      <c r="B56" s="25">
        <v>3.716</v>
      </c>
      <c r="C56" s="25">
        <v>0.2</v>
      </c>
      <c r="D56" s="25" t="s">
        <v>6</v>
      </c>
      <c r="E56" s="48">
        <v>-0.954</v>
      </c>
      <c r="F56" s="47">
        <v>-11.732</v>
      </c>
      <c r="G56" s="25">
        <v>12.748</v>
      </c>
      <c r="H56" s="25">
        <v>10.223</v>
      </c>
      <c r="I56" s="25" t="s">
        <v>7</v>
      </c>
      <c r="J56" s="48">
        <v>-1.245</v>
      </c>
      <c r="K56" s="47">
        <v>-14.476</v>
      </c>
      <c r="L56" s="25">
        <v>-9.854</v>
      </c>
      <c r="M56" s="25">
        <v>-9.673</v>
      </c>
      <c r="N56" s="25" t="s">
        <v>4</v>
      </c>
      <c r="O56" s="48">
        <v>-0.638</v>
      </c>
      <c r="T56" s="28"/>
      <c r="U56" s="28"/>
      <c r="V56" s="28"/>
      <c r="W56" s="28"/>
      <c r="X56" s="28"/>
      <c r="Y56" s="28"/>
      <c r="AA56" s="29"/>
      <c r="AB56" s="29"/>
      <c r="AC56" s="30"/>
    </row>
    <row r="57">
      <c r="A57" s="47">
        <v>-15.654</v>
      </c>
      <c r="B57" s="25">
        <v>-12.242</v>
      </c>
      <c r="C57" s="25">
        <v>-8.304</v>
      </c>
      <c r="D57" s="25" t="s">
        <v>10</v>
      </c>
      <c r="E57" s="48">
        <v>-0.954</v>
      </c>
      <c r="F57" s="47">
        <v>0.928</v>
      </c>
      <c r="G57" s="25">
        <v>12.816</v>
      </c>
      <c r="H57" s="25">
        <v>11.857</v>
      </c>
      <c r="I57" s="25" t="s">
        <v>2</v>
      </c>
      <c r="J57" s="48">
        <v>-1.244</v>
      </c>
      <c r="K57" s="47">
        <v>5.128</v>
      </c>
      <c r="L57" s="25">
        <v>6.374</v>
      </c>
      <c r="M57" s="25">
        <v>-1.936</v>
      </c>
      <c r="N57" s="25" t="s">
        <v>4</v>
      </c>
      <c r="O57" s="48">
        <v>-0.637</v>
      </c>
      <c r="T57" s="28"/>
      <c r="U57" s="28"/>
      <c r="V57" s="28"/>
      <c r="W57" s="28"/>
      <c r="X57" s="28"/>
      <c r="Y57" s="28"/>
      <c r="AA57" s="29"/>
      <c r="AB57" s="29"/>
      <c r="AC57" s="30"/>
    </row>
    <row r="58">
      <c r="A58" s="47">
        <v>7.866</v>
      </c>
      <c r="B58" s="25">
        <v>27.316</v>
      </c>
      <c r="C58" s="25">
        <v>-10.053</v>
      </c>
      <c r="D58" s="25" t="s">
        <v>15</v>
      </c>
      <c r="E58" s="48">
        <v>-0.953</v>
      </c>
      <c r="F58" s="47">
        <v>-16.654</v>
      </c>
      <c r="G58" s="25">
        <v>5.741</v>
      </c>
      <c r="H58" s="25">
        <v>-1.245</v>
      </c>
      <c r="I58" s="25" t="s">
        <v>3</v>
      </c>
      <c r="J58" s="48">
        <v>-1.243</v>
      </c>
      <c r="K58" s="47">
        <v>-15.279</v>
      </c>
      <c r="L58" s="25">
        <v>1.067</v>
      </c>
      <c r="M58" s="25">
        <v>16.706</v>
      </c>
      <c r="N58" s="25" t="s">
        <v>8</v>
      </c>
      <c r="O58" s="48">
        <v>-0.635</v>
      </c>
      <c r="T58" s="28"/>
      <c r="U58" s="28"/>
      <c r="V58" s="28"/>
      <c r="W58" s="28"/>
      <c r="X58" s="28"/>
      <c r="Y58" s="28"/>
      <c r="AA58" s="29"/>
      <c r="AB58" s="29"/>
      <c r="AC58" s="30"/>
    </row>
    <row r="59">
      <c r="A59" s="47">
        <v>-22.138</v>
      </c>
      <c r="B59" s="25">
        <v>1.791</v>
      </c>
      <c r="C59" s="25">
        <v>16.248</v>
      </c>
      <c r="D59" s="25" t="s">
        <v>8</v>
      </c>
      <c r="E59" s="48">
        <v>-0.952</v>
      </c>
      <c r="F59" s="47">
        <v>11.924</v>
      </c>
      <c r="G59" s="25">
        <v>-7.676</v>
      </c>
      <c r="H59" s="25">
        <v>5.171</v>
      </c>
      <c r="I59" s="25" t="s">
        <v>6</v>
      </c>
      <c r="J59" s="48">
        <v>-1.242</v>
      </c>
      <c r="K59" s="56">
        <v>7.866</v>
      </c>
      <c r="L59" s="57">
        <v>27.316</v>
      </c>
      <c r="M59" s="57">
        <v>-10.053</v>
      </c>
      <c r="N59" s="57" t="s">
        <v>15</v>
      </c>
      <c r="O59" s="58">
        <v>-0.632</v>
      </c>
      <c r="T59" s="28"/>
      <c r="U59" s="28"/>
      <c r="V59" s="28"/>
      <c r="W59" s="28"/>
      <c r="X59" s="28"/>
      <c r="Y59" s="28"/>
      <c r="AA59" s="29"/>
      <c r="AB59" s="29"/>
      <c r="AC59" s="30"/>
    </row>
    <row r="60">
      <c r="A60" s="47">
        <v>-3.281</v>
      </c>
      <c r="B60" s="25">
        <v>14.787</v>
      </c>
      <c r="C60" s="25">
        <v>-3.234</v>
      </c>
      <c r="D60" s="25" t="s">
        <v>17</v>
      </c>
      <c r="E60" s="48">
        <v>-0.95</v>
      </c>
      <c r="F60" s="47">
        <v>-12.764</v>
      </c>
      <c r="G60" s="25">
        <v>4.438</v>
      </c>
      <c r="H60" s="25">
        <v>0.349</v>
      </c>
      <c r="I60" s="25" t="s">
        <v>7</v>
      </c>
      <c r="J60" s="48">
        <v>-1.241</v>
      </c>
      <c r="K60" s="56">
        <v>17.881</v>
      </c>
      <c r="L60" s="57">
        <v>-12.714</v>
      </c>
      <c r="M60" s="57">
        <v>-5.716</v>
      </c>
      <c r="N60" s="57" t="s">
        <v>8</v>
      </c>
      <c r="O60" s="58">
        <v>-0.632</v>
      </c>
      <c r="T60" s="28"/>
      <c r="U60" s="28"/>
      <c r="V60" s="28"/>
      <c r="W60" s="28"/>
      <c r="X60" s="28"/>
      <c r="Y60" s="28"/>
      <c r="AA60" s="29"/>
      <c r="AB60" s="29"/>
      <c r="AC60" s="30"/>
    </row>
    <row r="61">
      <c r="A61" s="47">
        <v>-1.617</v>
      </c>
      <c r="B61" s="25">
        <v>-11.544</v>
      </c>
      <c r="C61" s="25">
        <v>-3.838</v>
      </c>
      <c r="D61" s="25" t="s">
        <v>13</v>
      </c>
      <c r="E61" s="48">
        <v>-0.948</v>
      </c>
      <c r="F61" s="47">
        <v>-2.02</v>
      </c>
      <c r="G61" s="25">
        <v>12.705</v>
      </c>
      <c r="H61" s="25">
        <v>11.1</v>
      </c>
      <c r="I61" s="25" t="s">
        <v>2</v>
      </c>
      <c r="J61" s="48">
        <v>-1.238</v>
      </c>
      <c r="K61" s="56">
        <v>10.905</v>
      </c>
      <c r="L61" s="57">
        <v>7.898</v>
      </c>
      <c r="M61" s="57">
        <v>8.632</v>
      </c>
      <c r="N61" s="57" t="s">
        <v>2</v>
      </c>
      <c r="O61" s="58">
        <v>-0.63</v>
      </c>
      <c r="T61" s="28"/>
      <c r="U61" s="28"/>
      <c r="V61" s="28"/>
      <c r="W61" s="28"/>
      <c r="X61" s="28"/>
      <c r="Y61" s="28"/>
      <c r="AA61" s="29"/>
      <c r="AB61" s="29"/>
      <c r="AC61" s="30"/>
    </row>
    <row r="62">
      <c r="A62" s="47">
        <v>-21.72</v>
      </c>
      <c r="B62" s="25">
        <v>13.594</v>
      </c>
      <c r="C62" s="25">
        <v>6.739</v>
      </c>
      <c r="D62" s="25" t="s">
        <v>2</v>
      </c>
      <c r="E62" s="48">
        <v>-0.944</v>
      </c>
      <c r="F62" s="47">
        <v>-19.739</v>
      </c>
      <c r="G62" s="25">
        <v>12.443</v>
      </c>
      <c r="H62" s="25">
        <v>-5.145</v>
      </c>
      <c r="I62" s="25" t="s">
        <v>6</v>
      </c>
      <c r="J62" s="48">
        <v>-1.237</v>
      </c>
      <c r="K62" s="56">
        <v>-7.692</v>
      </c>
      <c r="L62" s="57">
        <v>16.675</v>
      </c>
      <c r="M62" s="57">
        <v>-3.661</v>
      </c>
      <c r="N62" s="57" t="s">
        <v>15</v>
      </c>
      <c r="O62" s="58">
        <v>-0.63</v>
      </c>
      <c r="T62" s="28"/>
      <c r="U62" s="28"/>
      <c r="V62" s="28"/>
      <c r="W62" s="28"/>
      <c r="X62" s="28"/>
      <c r="Y62" s="28"/>
      <c r="AA62" s="29"/>
      <c r="AB62" s="29"/>
      <c r="AC62" s="30"/>
    </row>
    <row r="63">
      <c r="A63" s="47">
        <v>15.165</v>
      </c>
      <c r="B63" s="25">
        <v>-14.551</v>
      </c>
      <c r="C63" s="25">
        <v>6.653</v>
      </c>
      <c r="D63" s="25" t="s">
        <v>7</v>
      </c>
      <c r="E63" s="48">
        <v>-0.943</v>
      </c>
      <c r="F63" s="47">
        <v>14.949</v>
      </c>
      <c r="G63" s="25">
        <v>-14.637</v>
      </c>
      <c r="H63" s="25">
        <v>6.262</v>
      </c>
      <c r="I63" s="25" t="s">
        <v>6</v>
      </c>
      <c r="J63" s="48">
        <v>-1.237</v>
      </c>
      <c r="K63" s="47">
        <v>-25.182</v>
      </c>
      <c r="L63" s="25">
        <v>21.937</v>
      </c>
      <c r="M63" s="25">
        <v>-11.377</v>
      </c>
      <c r="N63" s="25" t="s">
        <v>8</v>
      </c>
      <c r="O63" s="48">
        <v>-0.629</v>
      </c>
      <c r="T63" s="28"/>
      <c r="U63" s="28"/>
      <c r="V63" s="28"/>
      <c r="W63" s="28"/>
      <c r="X63" s="28"/>
      <c r="Y63" s="28"/>
      <c r="AA63" s="29"/>
      <c r="AB63" s="29"/>
      <c r="AC63" s="30"/>
    </row>
    <row r="64">
      <c r="A64" s="47">
        <v>-21.71</v>
      </c>
      <c r="B64" s="25">
        <v>13.527</v>
      </c>
      <c r="C64" s="25">
        <v>6.816</v>
      </c>
      <c r="D64" s="25" t="s">
        <v>2</v>
      </c>
      <c r="E64" s="48">
        <v>-0.941</v>
      </c>
      <c r="F64" s="47">
        <v>-19.98</v>
      </c>
      <c r="G64" s="25">
        <v>22.846</v>
      </c>
      <c r="H64" s="25">
        <v>3.994</v>
      </c>
      <c r="I64" s="25" t="s">
        <v>16</v>
      </c>
      <c r="J64" s="48">
        <v>-1.236</v>
      </c>
      <c r="K64" s="47">
        <v>-20.126</v>
      </c>
      <c r="L64" s="25">
        <v>23.347</v>
      </c>
      <c r="M64" s="25">
        <v>3.595</v>
      </c>
      <c r="N64" s="25" t="s">
        <v>2</v>
      </c>
      <c r="O64" s="48">
        <v>-0.628</v>
      </c>
      <c r="T64" s="28"/>
      <c r="U64" s="28"/>
      <c r="V64" s="28"/>
      <c r="W64" s="28"/>
      <c r="X64" s="28"/>
      <c r="Y64" s="28"/>
      <c r="AA64" s="29"/>
      <c r="AB64" s="29"/>
      <c r="AC64" s="30"/>
    </row>
    <row r="65">
      <c r="A65" s="47">
        <v>-1.94</v>
      </c>
      <c r="B65" s="25">
        <v>8.896</v>
      </c>
      <c r="C65" s="25">
        <v>11.182</v>
      </c>
      <c r="D65" s="25" t="s">
        <v>9</v>
      </c>
      <c r="E65" s="48">
        <v>-0.937</v>
      </c>
      <c r="F65" s="47">
        <v>11.32</v>
      </c>
      <c r="G65" s="25">
        <v>-8.059</v>
      </c>
      <c r="H65" s="25">
        <v>11.277</v>
      </c>
      <c r="I65" s="25" t="s">
        <v>7</v>
      </c>
      <c r="J65" s="48">
        <v>-1.231</v>
      </c>
      <c r="K65" s="47">
        <v>11.32</v>
      </c>
      <c r="L65" s="25">
        <v>-8.059</v>
      </c>
      <c r="M65" s="25">
        <v>11.277</v>
      </c>
      <c r="N65" s="25" t="s">
        <v>7</v>
      </c>
      <c r="O65" s="48">
        <v>-0.627</v>
      </c>
      <c r="T65" s="28"/>
      <c r="U65" s="28"/>
      <c r="V65" s="28"/>
      <c r="W65" s="28"/>
      <c r="X65" s="28"/>
      <c r="Y65" s="28"/>
      <c r="AA65" s="29"/>
      <c r="AB65" s="29"/>
      <c r="AC65" s="30"/>
    </row>
    <row r="66">
      <c r="A66" s="59">
        <v>-2.013</v>
      </c>
      <c r="B66" s="60">
        <v>11.063</v>
      </c>
      <c r="C66" s="60">
        <v>11.354</v>
      </c>
      <c r="D66" s="60" t="s">
        <v>7</v>
      </c>
      <c r="E66" s="48">
        <v>-0.937</v>
      </c>
      <c r="F66" s="59">
        <v>-14.395</v>
      </c>
      <c r="G66" s="60">
        <v>3.162</v>
      </c>
      <c r="H66" s="60">
        <v>-0.019</v>
      </c>
      <c r="I66" s="60" t="s">
        <v>6</v>
      </c>
      <c r="J66" s="61">
        <v>-1.23</v>
      </c>
      <c r="K66" s="59">
        <v>-20.665</v>
      </c>
      <c r="L66" s="60">
        <v>-1.344</v>
      </c>
      <c r="M66" s="60">
        <v>-6.459</v>
      </c>
      <c r="N66" s="60" t="s">
        <v>6</v>
      </c>
      <c r="O66" s="48">
        <v>-0.626</v>
      </c>
      <c r="T66" s="28"/>
      <c r="U66" s="28"/>
      <c r="V66" s="28"/>
      <c r="W66" s="28"/>
      <c r="X66" s="28"/>
      <c r="Y66" s="28"/>
      <c r="AA66" s="29"/>
      <c r="AB66" s="29"/>
      <c r="AC66" s="30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T67" s="28"/>
      <c r="U67" s="28"/>
      <c r="V67" s="28"/>
      <c r="W67" s="28"/>
      <c r="X67" s="28"/>
      <c r="Y67" s="28"/>
      <c r="AA67" s="29"/>
      <c r="AB67" s="29"/>
      <c r="AC67" s="30"/>
    </row>
    <row r="68">
      <c r="A68" s="64" t="s">
        <v>46</v>
      </c>
      <c r="B68" s="65"/>
      <c r="C68" s="66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T68" s="28"/>
      <c r="U68" s="28"/>
      <c r="V68" s="28"/>
      <c r="W68" s="28"/>
      <c r="X68" s="28"/>
      <c r="Y68" s="28"/>
      <c r="AA68" s="29"/>
      <c r="AB68" s="29"/>
      <c r="AC68" s="30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T69" s="28"/>
      <c r="U69" s="28"/>
      <c r="V69" s="28"/>
      <c r="W69" s="28"/>
      <c r="X69" s="28"/>
      <c r="Y69" s="28"/>
      <c r="AA69" s="29"/>
      <c r="AB69" s="29"/>
      <c r="AC69" s="30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T70" s="28"/>
      <c r="U70" s="28"/>
      <c r="V70" s="28"/>
      <c r="W70" s="28"/>
      <c r="X70" s="28"/>
      <c r="Y70" s="28"/>
      <c r="AA70" s="29"/>
      <c r="AB70" s="29"/>
      <c r="AC70" s="30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T71" s="28"/>
      <c r="U71" s="28"/>
      <c r="V71" s="28"/>
      <c r="W71" s="28"/>
      <c r="X71" s="28"/>
      <c r="Y71" s="28"/>
      <c r="AA71" s="29"/>
      <c r="AB71" s="29"/>
      <c r="AC71" s="30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T72" s="28"/>
      <c r="U72" s="28"/>
      <c r="V72" s="28"/>
      <c r="W72" s="28"/>
      <c r="X72" s="28"/>
      <c r="Y72" s="28"/>
      <c r="AA72" s="29"/>
      <c r="AB72" s="29"/>
      <c r="AC72" s="30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T73" s="28"/>
      <c r="U73" s="28"/>
      <c r="V73" s="28"/>
      <c r="W73" s="28"/>
      <c r="X73" s="28"/>
      <c r="Y73" s="28"/>
      <c r="AA73" s="29"/>
      <c r="AB73" s="29"/>
      <c r="AC73" s="30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T74" s="28"/>
      <c r="U74" s="28"/>
      <c r="V74" s="28"/>
      <c r="W74" s="28"/>
      <c r="X74" s="28"/>
      <c r="Y74" s="28"/>
      <c r="AA74" s="29"/>
      <c r="AB74" s="29"/>
      <c r="AC74" s="30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T75" s="28"/>
      <c r="U75" s="28"/>
      <c r="V75" s="28"/>
      <c r="W75" s="28"/>
      <c r="X75" s="28"/>
      <c r="Y75" s="28"/>
      <c r="AA75" s="29"/>
      <c r="AB75" s="29"/>
      <c r="AC75" s="30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T76" s="28"/>
      <c r="U76" s="28"/>
      <c r="V76" s="28"/>
      <c r="W76" s="28"/>
      <c r="X76" s="28"/>
      <c r="Y76" s="28"/>
      <c r="AA76" s="29"/>
      <c r="AB76" s="29"/>
      <c r="AC76" s="30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T77" s="28"/>
      <c r="U77" s="28"/>
      <c r="V77" s="28"/>
      <c r="W77" s="28"/>
      <c r="X77" s="28"/>
      <c r="Y77" s="28"/>
      <c r="AA77" s="29"/>
      <c r="AB77" s="29"/>
      <c r="AC77" s="30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T78" s="28"/>
      <c r="U78" s="28"/>
      <c r="V78" s="28"/>
      <c r="W78" s="28"/>
      <c r="X78" s="28"/>
      <c r="Y78" s="28"/>
      <c r="AA78" s="29"/>
      <c r="AB78" s="29"/>
      <c r="AC78" s="30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T79" s="28"/>
      <c r="U79" s="28"/>
      <c r="V79" s="28"/>
      <c r="W79" s="28"/>
      <c r="X79" s="28"/>
      <c r="Y79" s="28"/>
      <c r="AA79" s="29"/>
      <c r="AB79" s="29"/>
      <c r="AC79" s="30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T80" s="28"/>
      <c r="U80" s="28"/>
      <c r="V80" s="28"/>
      <c r="W80" s="28"/>
      <c r="X80" s="28"/>
      <c r="Y80" s="28"/>
      <c r="AA80" s="29"/>
      <c r="AB80" s="29"/>
      <c r="AC80" s="30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T81" s="28"/>
      <c r="U81" s="28"/>
      <c r="V81" s="28"/>
      <c r="W81" s="28"/>
      <c r="X81" s="28"/>
      <c r="Y81" s="28"/>
      <c r="AA81" s="29"/>
      <c r="AB81" s="29"/>
      <c r="AC81" s="30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T82" s="28"/>
      <c r="U82" s="28"/>
      <c r="V82" s="28"/>
      <c r="W82" s="28"/>
      <c r="X82" s="28"/>
      <c r="Y82" s="28"/>
      <c r="AA82" s="29"/>
      <c r="AB82" s="29"/>
      <c r="AC82" s="30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T83" s="28"/>
      <c r="U83" s="28"/>
      <c r="V83" s="28"/>
      <c r="W83" s="28"/>
      <c r="X83" s="28"/>
      <c r="Y83" s="28"/>
      <c r="AA83" s="29"/>
      <c r="AB83" s="29"/>
      <c r="AC83" s="30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T84" s="28"/>
      <c r="U84" s="28"/>
      <c r="V84" s="28"/>
      <c r="W84" s="28"/>
      <c r="X84" s="28"/>
      <c r="Y84" s="28"/>
      <c r="AA84" s="29"/>
      <c r="AB84" s="29"/>
      <c r="AC84" s="30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T85" s="28"/>
      <c r="U85" s="28"/>
      <c r="V85" s="28"/>
      <c r="W85" s="28"/>
      <c r="X85" s="28"/>
      <c r="Y85" s="28"/>
      <c r="AA85" s="29"/>
      <c r="AB85" s="29"/>
      <c r="AC85" s="30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T86" s="28"/>
      <c r="U86" s="28"/>
      <c r="V86" s="28"/>
      <c r="W86" s="28"/>
      <c r="X86" s="28"/>
      <c r="Y86" s="28"/>
      <c r="AA86" s="29"/>
      <c r="AB86" s="29"/>
      <c r="AC86" s="30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T87" s="28"/>
      <c r="U87" s="28"/>
      <c r="V87" s="28"/>
      <c r="W87" s="28"/>
      <c r="X87" s="28"/>
      <c r="Y87" s="28"/>
      <c r="AA87" s="29"/>
      <c r="AB87" s="29"/>
      <c r="AC87" s="30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T88" s="28"/>
      <c r="U88" s="28"/>
      <c r="V88" s="28"/>
      <c r="W88" s="28"/>
      <c r="X88" s="28"/>
      <c r="Y88" s="28"/>
      <c r="AA88" s="29"/>
      <c r="AB88" s="29"/>
      <c r="AC88" s="30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T89" s="28"/>
      <c r="U89" s="28"/>
      <c r="V89" s="28"/>
      <c r="W89" s="28"/>
      <c r="X89" s="28"/>
      <c r="Y89" s="28"/>
      <c r="AA89" s="29"/>
      <c r="AB89" s="29"/>
      <c r="AC89" s="30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T90" s="28"/>
      <c r="U90" s="28"/>
      <c r="V90" s="28"/>
      <c r="W90" s="28"/>
      <c r="X90" s="28"/>
      <c r="Y90" s="28"/>
      <c r="AA90" s="29"/>
      <c r="AB90" s="29"/>
      <c r="AC90" s="30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T91" s="28"/>
      <c r="U91" s="28"/>
      <c r="V91" s="28"/>
      <c r="W91" s="28"/>
      <c r="X91" s="28"/>
      <c r="Y91" s="28"/>
      <c r="AA91" s="29"/>
      <c r="AB91" s="29"/>
      <c r="AC91" s="30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T92" s="28"/>
      <c r="U92" s="28"/>
      <c r="V92" s="28"/>
      <c r="W92" s="28"/>
      <c r="X92" s="28"/>
      <c r="Y92" s="28"/>
      <c r="AA92" s="29"/>
      <c r="AB92" s="29"/>
      <c r="AC92" s="30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T93" s="28"/>
      <c r="U93" s="28"/>
      <c r="V93" s="28"/>
      <c r="W93" s="28"/>
      <c r="X93" s="28"/>
      <c r="Y93" s="28"/>
      <c r="AA93" s="29"/>
      <c r="AB93" s="29"/>
      <c r="AC93" s="30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T94" s="28"/>
      <c r="U94" s="28"/>
      <c r="V94" s="28"/>
      <c r="W94" s="28"/>
      <c r="X94" s="28"/>
      <c r="Y94" s="28"/>
      <c r="AA94" s="29"/>
      <c r="AB94" s="29"/>
      <c r="AC94" s="30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T95" s="28"/>
      <c r="U95" s="28"/>
      <c r="V95" s="28"/>
      <c r="W95" s="28"/>
      <c r="X95" s="28"/>
      <c r="Y95" s="28"/>
      <c r="AA95" s="29"/>
      <c r="AB95" s="29"/>
      <c r="AC95" s="30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T96" s="28"/>
      <c r="U96" s="28"/>
      <c r="V96" s="28"/>
      <c r="W96" s="28"/>
      <c r="X96" s="28"/>
      <c r="Y96" s="28"/>
      <c r="AA96" s="29"/>
      <c r="AB96" s="29"/>
      <c r="AC96" s="30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T97" s="28"/>
      <c r="U97" s="28"/>
      <c r="V97" s="28"/>
      <c r="W97" s="28"/>
      <c r="X97" s="28"/>
      <c r="Y97" s="28"/>
      <c r="AA97" s="29"/>
      <c r="AB97" s="29"/>
      <c r="AC97" s="30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T98" s="28"/>
      <c r="U98" s="28"/>
      <c r="V98" s="28"/>
      <c r="W98" s="28"/>
      <c r="X98" s="28"/>
      <c r="Y98" s="28"/>
      <c r="AA98" s="29"/>
      <c r="AB98" s="29"/>
      <c r="AC98" s="30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T99" s="28"/>
      <c r="U99" s="28"/>
      <c r="V99" s="28"/>
      <c r="W99" s="28"/>
      <c r="X99" s="28"/>
      <c r="Y99" s="28"/>
      <c r="AA99" s="29"/>
      <c r="AB99" s="29"/>
      <c r="AC99" s="30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T100" s="28"/>
      <c r="U100" s="28"/>
      <c r="V100" s="28"/>
      <c r="W100" s="28"/>
      <c r="X100" s="28"/>
      <c r="Y100" s="28"/>
      <c r="AA100" s="29"/>
      <c r="AB100" s="29"/>
      <c r="AC100" s="30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T101" s="28"/>
      <c r="U101" s="28"/>
      <c r="V101" s="28"/>
      <c r="W101" s="28"/>
      <c r="X101" s="28"/>
      <c r="Y101" s="28"/>
      <c r="AA101" s="29"/>
      <c r="AB101" s="29"/>
      <c r="AC101" s="30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T102" s="28"/>
      <c r="U102" s="28"/>
      <c r="V102" s="28"/>
      <c r="W102" s="28"/>
      <c r="X102" s="28"/>
      <c r="Y102" s="28"/>
      <c r="AA102" s="29"/>
      <c r="AB102" s="29"/>
      <c r="AC102" s="30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T103" s="28"/>
      <c r="U103" s="28"/>
      <c r="V103" s="28"/>
      <c r="W103" s="28"/>
      <c r="X103" s="28"/>
      <c r="Y103" s="28"/>
      <c r="AA103" s="29"/>
      <c r="AB103" s="29"/>
      <c r="AC103" s="30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T104" s="28"/>
      <c r="U104" s="28"/>
      <c r="V104" s="28"/>
      <c r="W104" s="28"/>
      <c r="X104" s="28"/>
      <c r="Y104" s="28"/>
      <c r="AA104" s="29"/>
      <c r="AB104" s="29"/>
      <c r="AC104" s="30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T105" s="28"/>
      <c r="U105" s="28"/>
      <c r="V105" s="28"/>
      <c r="W105" s="28"/>
      <c r="X105" s="28"/>
      <c r="Y105" s="28"/>
      <c r="AA105" s="29"/>
      <c r="AB105" s="29"/>
      <c r="AC105" s="30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T106" s="28"/>
      <c r="U106" s="28"/>
      <c r="V106" s="28"/>
      <c r="W106" s="28"/>
      <c r="X106" s="28"/>
      <c r="Y106" s="28"/>
      <c r="AA106" s="29"/>
      <c r="AB106" s="29"/>
      <c r="AC106" s="30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T107" s="28"/>
      <c r="U107" s="28"/>
      <c r="V107" s="28"/>
      <c r="W107" s="28"/>
      <c r="X107" s="28"/>
      <c r="Y107" s="28"/>
      <c r="AA107" s="29"/>
      <c r="AB107" s="29"/>
      <c r="AC107" s="30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T108" s="28"/>
      <c r="U108" s="28"/>
      <c r="V108" s="28"/>
      <c r="W108" s="28"/>
      <c r="X108" s="28"/>
      <c r="Y108" s="28"/>
      <c r="AA108" s="29"/>
      <c r="AB108" s="29"/>
      <c r="AC108" s="30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T109" s="28"/>
      <c r="U109" s="28"/>
      <c r="V109" s="28"/>
      <c r="W109" s="28"/>
      <c r="X109" s="28"/>
      <c r="Y109" s="28"/>
      <c r="AA109" s="29"/>
      <c r="AB109" s="29"/>
      <c r="AC109" s="30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T110" s="28"/>
      <c r="U110" s="28"/>
      <c r="V110" s="28"/>
      <c r="W110" s="28"/>
      <c r="X110" s="28"/>
      <c r="Y110" s="28"/>
      <c r="AA110" s="29"/>
      <c r="AB110" s="29"/>
      <c r="AC110" s="30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T111" s="28"/>
      <c r="U111" s="28"/>
      <c r="V111" s="28"/>
      <c r="W111" s="28"/>
      <c r="X111" s="28"/>
      <c r="Y111" s="28"/>
      <c r="AA111" s="29"/>
      <c r="AB111" s="29"/>
      <c r="AC111" s="30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T112" s="28"/>
      <c r="U112" s="28"/>
      <c r="V112" s="28"/>
      <c r="W112" s="28"/>
      <c r="X112" s="28"/>
      <c r="Y112" s="28"/>
      <c r="AA112" s="29"/>
      <c r="AB112" s="29"/>
      <c r="AC112" s="30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T113" s="28"/>
      <c r="U113" s="28"/>
      <c r="V113" s="28"/>
      <c r="W113" s="28"/>
      <c r="X113" s="28"/>
      <c r="Y113" s="28"/>
      <c r="AA113" s="29"/>
      <c r="AB113" s="29"/>
      <c r="AC113" s="30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T114" s="28"/>
      <c r="U114" s="28"/>
      <c r="V114" s="28"/>
      <c r="W114" s="28"/>
      <c r="X114" s="28"/>
      <c r="Y114" s="28"/>
      <c r="AA114" s="29"/>
      <c r="AB114" s="29"/>
      <c r="AC114" s="30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T115" s="28"/>
      <c r="U115" s="28"/>
      <c r="V115" s="28"/>
      <c r="W115" s="28"/>
      <c r="X115" s="28"/>
      <c r="Y115" s="28"/>
      <c r="AA115" s="29"/>
      <c r="AB115" s="29"/>
      <c r="AC115" s="30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T116" s="28"/>
      <c r="U116" s="28"/>
      <c r="V116" s="28"/>
      <c r="W116" s="28"/>
      <c r="X116" s="28"/>
      <c r="Y116" s="28"/>
      <c r="AA116" s="29"/>
      <c r="AB116" s="29"/>
      <c r="AC116" s="30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T117" s="28"/>
      <c r="U117" s="28"/>
      <c r="V117" s="28"/>
      <c r="W117" s="28"/>
      <c r="X117" s="28"/>
      <c r="Y117" s="28"/>
      <c r="AA117" s="29"/>
      <c r="AB117" s="29"/>
      <c r="AC117" s="30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T118" s="28"/>
      <c r="U118" s="28"/>
      <c r="V118" s="28"/>
      <c r="W118" s="28"/>
      <c r="X118" s="28"/>
      <c r="Y118" s="28"/>
      <c r="AA118" s="29"/>
      <c r="AB118" s="29"/>
      <c r="AC118" s="30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T119" s="28"/>
      <c r="U119" s="28"/>
      <c r="V119" s="28"/>
      <c r="W119" s="28"/>
      <c r="X119" s="28"/>
      <c r="Y119" s="28"/>
      <c r="AA119" s="29"/>
      <c r="AB119" s="29"/>
      <c r="AC119" s="30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T120" s="28"/>
      <c r="U120" s="28"/>
      <c r="V120" s="28"/>
      <c r="W120" s="28"/>
      <c r="X120" s="28"/>
      <c r="Y120" s="28"/>
      <c r="AA120" s="29"/>
      <c r="AB120" s="29"/>
      <c r="AC120" s="30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T121" s="28"/>
      <c r="U121" s="28"/>
      <c r="V121" s="28"/>
      <c r="W121" s="28"/>
      <c r="X121" s="28"/>
      <c r="Y121" s="28"/>
      <c r="AA121" s="29"/>
      <c r="AB121" s="29"/>
      <c r="AC121" s="30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T122" s="28"/>
      <c r="U122" s="28"/>
      <c r="V122" s="28"/>
      <c r="W122" s="28"/>
      <c r="X122" s="28"/>
      <c r="Y122" s="28"/>
      <c r="AA122" s="29"/>
      <c r="AB122" s="29"/>
      <c r="AC122" s="30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T123" s="28"/>
      <c r="U123" s="28"/>
      <c r="V123" s="28"/>
      <c r="W123" s="28"/>
      <c r="X123" s="28"/>
      <c r="Y123" s="28"/>
      <c r="AA123" s="29"/>
      <c r="AB123" s="29"/>
      <c r="AC123" s="30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T124" s="28"/>
      <c r="U124" s="28"/>
      <c r="V124" s="28"/>
      <c r="W124" s="28"/>
      <c r="X124" s="28"/>
      <c r="Y124" s="28"/>
      <c r="AA124" s="29"/>
      <c r="AB124" s="29"/>
      <c r="AC124" s="30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T125" s="28"/>
      <c r="U125" s="28"/>
      <c r="V125" s="28"/>
      <c r="W125" s="28"/>
      <c r="X125" s="28"/>
      <c r="Y125" s="28"/>
      <c r="AA125" s="29"/>
      <c r="AB125" s="29"/>
      <c r="AC125" s="30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T126" s="28"/>
      <c r="U126" s="28"/>
      <c r="V126" s="28"/>
      <c r="W126" s="28"/>
      <c r="X126" s="28"/>
      <c r="Y126" s="28"/>
      <c r="AA126" s="29"/>
      <c r="AB126" s="29"/>
      <c r="AC126" s="30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T127" s="28"/>
      <c r="U127" s="28"/>
      <c r="V127" s="28"/>
      <c r="W127" s="28"/>
      <c r="X127" s="28"/>
      <c r="Y127" s="28"/>
      <c r="AA127" s="29"/>
      <c r="AB127" s="29"/>
      <c r="AC127" s="30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T128" s="28"/>
      <c r="U128" s="28"/>
      <c r="V128" s="28"/>
      <c r="W128" s="28"/>
      <c r="X128" s="28"/>
      <c r="Y128" s="28"/>
      <c r="AA128" s="29"/>
      <c r="AB128" s="29"/>
      <c r="AC128" s="30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T129" s="28"/>
      <c r="U129" s="28"/>
      <c r="V129" s="28"/>
      <c r="W129" s="28"/>
      <c r="X129" s="28"/>
      <c r="Y129" s="28"/>
      <c r="AA129" s="29"/>
      <c r="AB129" s="29"/>
      <c r="AC129" s="30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T130" s="28"/>
      <c r="U130" s="28"/>
      <c r="V130" s="28"/>
      <c r="W130" s="28"/>
      <c r="X130" s="28"/>
      <c r="Y130" s="28"/>
      <c r="AA130" s="29"/>
      <c r="AB130" s="29"/>
      <c r="AC130" s="30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T131" s="28"/>
      <c r="U131" s="28"/>
      <c r="V131" s="28"/>
      <c r="W131" s="28"/>
      <c r="X131" s="28"/>
      <c r="Y131" s="28"/>
      <c r="AA131" s="29"/>
      <c r="AB131" s="29"/>
      <c r="AC131" s="30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T132" s="28"/>
      <c r="U132" s="28"/>
      <c r="V132" s="28"/>
      <c r="W132" s="28"/>
      <c r="X132" s="28"/>
      <c r="Y132" s="28"/>
      <c r="AA132" s="29"/>
      <c r="AB132" s="29"/>
      <c r="AC132" s="30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T133" s="28"/>
      <c r="U133" s="28"/>
      <c r="V133" s="28"/>
      <c r="W133" s="28"/>
      <c r="X133" s="28"/>
      <c r="Y133" s="28"/>
      <c r="AA133" s="29"/>
      <c r="AB133" s="29"/>
      <c r="AC133" s="30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T134" s="28"/>
      <c r="U134" s="28"/>
      <c r="V134" s="28"/>
      <c r="W134" s="28"/>
      <c r="X134" s="28"/>
      <c r="Y134" s="28"/>
      <c r="AA134" s="29"/>
      <c r="AB134" s="29"/>
      <c r="AC134" s="30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T135" s="28"/>
      <c r="U135" s="28"/>
      <c r="V135" s="28"/>
      <c r="W135" s="28"/>
      <c r="X135" s="28"/>
      <c r="Y135" s="28"/>
      <c r="AA135" s="29"/>
      <c r="AB135" s="29"/>
      <c r="AC135" s="30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T136" s="28"/>
      <c r="U136" s="28"/>
      <c r="V136" s="28"/>
      <c r="W136" s="28"/>
      <c r="X136" s="28"/>
      <c r="Y136" s="28"/>
      <c r="AA136" s="29"/>
      <c r="AB136" s="29"/>
      <c r="AC136" s="30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T137" s="28"/>
      <c r="U137" s="28"/>
      <c r="V137" s="28"/>
      <c r="W137" s="28"/>
      <c r="X137" s="28"/>
      <c r="Y137" s="28"/>
      <c r="AA137" s="29"/>
      <c r="AB137" s="29"/>
      <c r="AC137" s="30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T138" s="28"/>
      <c r="U138" s="28"/>
      <c r="V138" s="28"/>
      <c r="W138" s="28"/>
      <c r="X138" s="28"/>
      <c r="Y138" s="28"/>
      <c r="AA138" s="29"/>
      <c r="AB138" s="29"/>
      <c r="AC138" s="30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T139" s="28"/>
      <c r="U139" s="28"/>
      <c r="V139" s="28"/>
      <c r="W139" s="28"/>
      <c r="X139" s="28"/>
      <c r="Y139" s="28"/>
      <c r="AA139" s="29"/>
      <c r="AB139" s="29"/>
      <c r="AC139" s="30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T140" s="28"/>
      <c r="U140" s="28"/>
      <c r="V140" s="28"/>
      <c r="W140" s="28"/>
      <c r="X140" s="28"/>
      <c r="Y140" s="28"/>
      <c r="AA140" s="29"/>
      <c r="AB140" s="29"/>
      <c r="AC140" s="30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T141" s="28"/>
      <c r="U141" s="28"/>
      <c r="V141" s="28"/>
      <c r="W141" s="28"/>
      <c r="X141" s="28"/>
      <c r="Y141" s="28"/>
      <c r="AA141" s="29"/>
      <c r="AB141" s="29"/>
      <c r="AC141" s="30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T142" s="28"/>
      <c r="U142" s="28"/>
      <c r="V142" s="28"/>
      <c r="W142" s="28"/>
      <c r="X142" s="28"/>
      <c r="Y142" s="28"/>
      <c r="AA142" s="29"/>
      <c r="AB142" s="29"/>
      <c r="AC142" s="30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T143" s="28"/>
      <c r="U143" s="28"/>
      <c r="V143" s="28"/>
      <c r="W143" s="28"/>
      <c r="X143" s="28"/>
      <c r="Y143" s="28"/>
      <c r="AA143" s="29"/>
      <c r="AB143" s="29"/>
      <c r="AC143" s="30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T144" s="28"/>
      <c r="U144" s="28"/>
      <c r="V144" s="28"/>
      <c r="W144" s="28"/>
      <c r="X144" s="28"/>
      <c r="Y144" s="28"/>
      <c r="AA144" s="29"/>
      <c r="AB144" s="29"/>
      <c r="AC144" s="30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T145" s="28"/>
      <c r="U145" s="28"/>
      <c r="V145" s="28"/>
      <c r="W145" s="28"/>
      <c r="X145" s="28"/>
      <c r="Y145" s="28"/>
      <c r="AA145" s="29"/>
      <c r="AB145" s="29"/>
      <c r="AC145" s="30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T146" s="28"/>
      <c r="U146" s="28"/>
      <c r="V146" s="28"/>
      <c r="W146" s="28"/>
      <c r="X146" s="28"/>
      <c r="Y146" s="28"/>
      <c r="AA146" s="29"/>
      <c r="AB146" s="29"/>
      <c r="AC146" s="30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T147" s="28"/>
      <c r="U147" s="28"/>
      <c r="V147" s="28"/>
      <c r="W147" s="28"/>
      <c r="X147" s="28"/>
      <c r="Y147" s="28"/>
      <c r="AA147" s="29"/>
      <c r="AB147" s="29"/>
      <c r="AC147" s="30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T148" s="28"/>
      <c r="U148" s="28"/>
      <c r="V148" s="28"/>
      <c r="W148" s="28"/>
      <c r="X148" s="28"/>
      <c r="Y148" s="28"/>
      <c r="AA148" s="29"/>
      <c r="AB148" s="29"/>
      <c r="AC148" s="30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T149" s="28"/>
      <c r="U149" s="28"/>
      <c r="V149" s="28"/>
      <c r="W149" s="28"/>
      <c r="X149" s="28"/>
      <c r="Y149" s="28"/>
      <c r="AA149" s="29"/>
      <c r="AB149" s="29"/>
      <c r="AC149" s="30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T150" s="28"/>
      <c r="U150" s="28"/>
      <c r="V150" s="28"/>
      <c r="W150" s="28"/>
      <c r="X150" s="28"/>
      <c r="Y150" s="28"/>
      <c r="AA150" s="29"/>
      <c r="AB150" s="29"/>
      <c r="AC150" s="30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T151" s="28"/>
      <c r="U151" s="28"/>
      <c r="V151" s="28"/>
      <c r="W151" s="28"/>
      <c r="X151" s="28"/>
      <c r="Y151" s="28"/>
      <c r="AA151" s="29"/>
      <c r="AB151" s="29"/>
      <c r="AC151" s="30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T152" s="28"/>
      <c r="U152" s="28"/>
      <c r="V152" s="28"/>
      <c r="W152" s="28"/>
      <c r="X152" s="28"/>
      <c r="Y152" s="28"/>
      <c r="AA152" s="29"/>
      <c r="AB152" s="29"/>
      <c r="AC152" s="30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T153" s="28"/>
      <c r="U153" s="28"/>
      <c r="V153" s="28"/>
      <c r="W153" s="28"/>
      <c r="X153" s="28"/>
      <c r="Y153" s="28"/>
      <c r="AA153" s="29"/>
      <c r="AB153" s="29"/>
      <c r="AC153" s="30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T154" s="28"/>
      <c r="U154" s="28"/>
      <c r="V154" s="28"/>
      <c r="W154" s="28"/>
      <c r="X154" s="28"/>
      <c r="Y154" s="28"/>
      <c r="AA154" s="29"/>
      <c r="AB154" s="29"/>
      <c r="AC154" s="30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T155" s="28"/>
      <c r="U155" s="28"/>
      <c r="V155" s="28"/>
      <c r="W155" s="28"/>
      <c r="X155" s="28"/>
      <c r="Y155" s="28"/>
      <c r="AA155" s="29"/>
      <c r="AB155" s="29"/>
      <c r="AC155" s="30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T156" s="28"/>
      <c r="U156" s="28"/>
      <c r="V156" s="28"/>
      <c r="W156" s="28"/>
      <c r="X156" s="28"/>
      <c r="Y156" s="28"/>
      <c r="AA156" s="29"/>
      <c r="AB156" s="29"/>
      <c r="AC156" s="30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T157" s="28"/>
      <c r="U157" s="28"/>
      <c r="V157" s="28"/>
      <c r="W157" s="28"/>
      <c r="X157" s="28"/>
      <c r="Y157" s="28"/>
      <c r="AA157" s="29"/>
      <c r="AB157" s="29"/>
      <c r="AC157" s="30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T158" s="28"/>
      <c r="U158" s="28"/>
      <c r="V158" s="28"/>
      <c r="W158" s="28"/>
      <c r="X158" s="28"/>
      <c r="Y158" s="28"/>
      <c r="AA158" s="29"/>
      <c r="AB158" s="29"/>
      <c r="AC158" s="30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T159" s="28"/>
      <c r="U159" s="28"/>
      <c r="V159" s="28"/>
      <c r="W159" s="28"/>
      <c r="X159" s="28"/>
      <c r="Y159" s="28"/>
      <c r="AA159" s="29"/>
      <c r="AB159" s="29"/>
      <c r="AC159" s="30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T160" s="28"/>
      <c r="U160" s="28"/>
      <c r="V160" s="28"/>
      <c r="W160" s="28"/>
      <c r="X160" s="28"/>
      <c r="Y160" s="28"/>
      <c r="AA160" s="29"/>
      <c r="AB160" s="29"/>
      <c r="AC160" s="30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T161" s="28"/>
      <c r="U161" s="28"/>
      <c r="V161" s="28"/>
      <c r="W161" s="28"/>
      <c r="X161" s="28"/>
      <c r="Y161" s="28"/>
      <c r="AA161" s="29"/>
      <c r="AB161" s="29"/>
      <c r="AC161" s="30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T162" s="28"/>
      <c r="U162" s="28"/>
      <c r="V162" s="28"/>
      <c r="W162" s="28"/>
      <c r="X162" s="28"/>
      <c r="Y162" s="28"/>
      <c r="AA162" s="29"/>
      <c r="AB162" s="29"/>
      <c r="AC162" s="30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T163" s="28"/>
      <c r="U163" s="28"/>
      <c r="V163" s="28"/>
      <c r="W163" s="28"/>
      <c r="X163" s="28"/>
      <c r="Y163" s="28"/>
      <c r="AA163" s="29"/>
      <c r="AB163" s="29"/>
      <c r="AC163" s="30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T164" s="28"/>
      <c r="U164" s="28"/>
      <c r="V164" s="28"/>
      <c r="W164" s="28"/>
      <c r="X164" s="28"/>
      <c r="Y164" s="28"/>
      <c r="AA164" s="29"/>
      <c r="AB164" s="29"/>
      <c r="AC164" s="30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T165" s="28"/>
      <c r="U165" s="28"/>
      <c r="V165" s="28"/>
      <c r="W165" s="28"/>
      <c r="X165" s="28"/>
      <c r="Y165" s="28"/>
      <c r="AA165" s="29"/>
      <c r="AB165" s="29"/>
      <c r="AC165" s="30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T166" s="28"/>
      <c r="U166" s="28"/>
      <c r="V166" s="28"/>
      <c r="W166" s="28"/>
      <c r="X166" s="28"/>
      <c r="Y166" s="28"/>
      <c r="AA166" s="29"/>
      <c r="AB166" s="29"/>
      <c r="AC166" s="30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T167" s="28"/>
      <c r="U167" s="28"/>
      <c r="V167" s="28"/>
      <c r="W167" s="28"/>
      <c r="X167" s="28"/>
      <c r="Y167" s="28"/>
      <c r="AA167" s="29"/>
      <c r="AB167" s="29"/>
      <c r="AC167" s="30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T168" s="28"/>
      <c r="U168" s="28"/>
      <c r="V168" s="28"/>
      <c r="W168" s="28"/>
      <c r="X168" s="28"/>
      <c r="Y168" s="28"/>
      <c r="AA168" s="29"/>
      <c r="AB168" s="29"/>
      <c r="AC168" s="30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T169" s="28"/>
      <c r="U169" s="28"/>
      <c r="V169" s="28"/>
      <c r="W169" s="28"/>
      <c r="X169" s="28"/>
      <c r="Y169" s="28"/>
      <c r="AA169" s="29"/>
      <c r="AB169" s="29"/>
      <c r="AC169" s="30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T170" s="28"/>
      <c r="U170" s="28"/>
      <c r="V170" s="28"/>
      <c r="W170" s="28"/>
      <c r="X170" s="28"/>
      <c r="Y170" s="28"/>
      <c r="AA170" s="29"/>
      <c r="AB170" s="29"/>
      <c r="AC170" s="30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T171" s="28"/>
      <c r="U171" s="28"/>
      <c r="V171" s="28"/>
      <c r="W171" s="28"/>
      <c r="X171" s="28"/>
      <c r="Y171" s="28"/>
      <c r="AA171" s="29"/>
      <c r="AB171" s="29"/>
      <c r="AC171" s="30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T172" s="28"/>
      <c r="U172" s="28"/>
      <c r="V172" s="28"/>
      <c r="W172" s="28"/>
      <c r="X172" s="28"/>
      <c r="Y172" s="28"/>
      <c r="AA172" s="29"/>
      <c r="AB172" s="29"/>
      <c r="AC172" s="30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T173" s="28"/>
      <c r="U173" s="28"/>
      <c r="V173" s="28"/>
      <c r="W173" s="28"/>
      <c r="X173" s="28"/>
      <c r="Y173" s="28"/>
      <c r="AA173" s="29"/>
      <c r="AB173" s="29"/>
      <c r="AC173" s="30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T174" s="28"/>
      <c r="U174" s="28"/>
      <c r="V174" s="28"/>
      <c r="W174" s="28"/>
      <c r="X174" s="28"/>
      <c r="Y174" s="28"/>
      <c r="AA174" s="29"/>
      <c r="AB174" s="29"/>
      <c r="AC174" s="30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T175" s="28"/>
      <c r="U175" s="28"/>
      <c r="V175" s="28"/>
      <c r="W175" s="28"/>
      <c r="X175" s="28"/>
      <c r="Y175" s="28"/>
      <c r="AA175" s="29"/>
      <c r="AB175" s="29"/>
      <c r="AC175" s="30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T176" s="28"/>
      <c r="U176" s="28"/>
      <c r="V176" s="28"/>
      <c r="W176" s="28"/>
      <c r="X176" s="28"/>
      <c r="Y176" s="28"/>
      <c r="AA176" s="29"/>
      <c r="AB176" s="29"/>
      <c r="AC176" s="30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T177" s="28"/>
      <c r="U177" s="28"/>
      <c r="V177" s="28"/>
      <c r="W177" s="28"/>
      <c r="X177" s="28"/>
      <c r="Y177" s="28"/>
      <c r="AA177" s="29"/>
      <c r="AB177" s="29"/>
      <c r="AC177" s="30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T178" s="28"/>
      <c r="U178" s="28"/>
      <c r="V178" s="28"/>
      <c r="W178" s="28"/>
      <c r="X178" s="28"/>
      <c r="Y178" s="28"/>
      <c r="AA178" s="29"/>
      <c r="AB178" s="29"/>
      <c r="AC178" s="30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T179" s="28"/>
      <c r="U179" s="28"/>
      <c r="V179" s="28"/>
      <c r="W179" s="28"/>
      <c r="X179" s="28"/>
      <c r="Y179" s="28"/>
      <c r="AA179" s="29"/>
      <c r="AB179" s="29"/>
      <c r="AC179" s="30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T180" s="28"/>
      <c r="U180" s="28"/>
      <c r="V180" s="28"/>
      <c r="W180" s="28"/>
      <c r="X180" s="28"/>
      <c r="Y180" s="28"/>
      <c r="AA180" s="29"/>
      <c r="AB180" s="29"/>
      <c r="AC180" s="30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T181" s="28"/>
      <c r="U181" s="28"/>
      <c r="V181" s="28"/>
      <c r="W181" s="28"/>
      <c r="X181" s="28"/>
      <c r="Y181" s="28"/>
      <c r="AA181" s="29"/>
      <c r="AB181" s="29"/>
      <c r="AC181" s="30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T182" s="28"/>
      <c r="U182" s="28"/>
      <c r="V182" s="28"/>
      <c r="W182" s="28"/>
      <c r="X182" s="28"/>
      <c r="Y182" s="28"/>
      <c r="AA182" s="29"/>
      <c r="AB182" s="29"/>
      <c r="AC182" s="30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T183" s="28"/>
      <c r="U183" s="28"/>
      <c r="V183" s="28"/>
      <c r="W183" s="28"/>
      <c r="X183" s="28"/>
      <c r="Y183" s="28"/>
      <c r="AA183" s="29"/>
      <c r="AB183" s="29"/>
      <c r="AC183" s="30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T184" s="28"/>
      <c r="U184" s="28"/>
      <c r="V184" s="28"/>
      <c r="W184" s="28"/>
      <c r="X184" s="28"/>
      <c r="Y184" s="28"/>
      <c r="AA184" s="29"/>
      <c r="AB184" s="29"/>
      <c r="AC184" s="30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T185" s="28"/>
      <c r="U185" s="28"/>
      <c r="V185" s="28"/>
      <c r="W185" s="28"/>
      <c r="X185" s="28"/>
      <c r="Y185" s="28"/>
      <c r="AA185" s="29"/>
      <c r="AB185" s="29"/>
      <c r="AC185" s="30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T186" s="28"/>
      <c r="U186" s="28"/>
      <c r="V186" s="28"/>
      <c r="W186" s="28"/>
      <c r="X186" s="28"/>
      <c r="Y186" s="28"/>
      <c r="AA186" s="29"/>
      <c r="AB186" s="29"/>
      <c r="AC186" s="30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T187" s="28"/>
      <c r="U187" s="28"/>
      <c r="V187" s="28"/>
      <c r="W187" s="28"/>
      <c r="X187" s="28"/>
      <c r="Y187" s="28"/>
      <c r="AA187" s="29"/>
      <c r="AB187" s="29"/>
      <c r="AC187" s="30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T188" s="28"/>
      <c r="U188" s="28"/>
      <c r="V188" s="28"/>
      <c r="W188" s="28"/>
      <c r="X188" s="28"/>
      <c r="Y188" s="28"/>
      <c r="AA188" s="29"/>
      <c r="AB188" s="29"/>
      <c r="AC188" s="30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T189" s="28"/>
      <c r="U189" s="28"/>
      <c r="V189" s="28"/>
      <c r="W189" s="28"/>
      <c r="X189" s="28"/>
      <c r="Y189" s="28"/>
      <c r="AA189" s="29"/>
      <c r="AB189" s="29"/>
      <c r="AC189" s="30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T190" s="28"/>
      <c r="U190" s="28"/>
      <c r="V190" s="28"/>
      <c r="W190" s="28"/>
      <c r="X190" s="28"/>
      <c r="Y190" s="28"/>
      <c r="AA190" s="29"/>
      <c r="AB190" s="29"/>
      <c r="AC190" s="30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T191" s="28"/>
      <c r="U191" s="28"/>
      <c r="V191" s="28"/>
      <c r="W191" s="28"/>
      <c r="X191" s="28"/>
      <c r="Y191" s="28"/>
      <c r="AA191" s="29"/>
      <c r="AB191" s="29"/>
      <c r="AC191" s="30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T192" s="28"/>
      <c r="U192" s="28"/>
      <c r="V192" s="28"/>
      <c r="W192" s="28"/>
      <c r="X192" s="28"/>
      <c r="Y192" s="28"/>
      <c r="AA192" s="29"/>
      <c r="AB192" s="29"/>
      <c r="AC192" s="30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T193" s="28"/>
      <c r="U193" s="28"/>
      <c r="V193" s="28"/>
      <c r="W193" s="28"/>
      <c r="X193" s="28"/>
      <c r="Y193" s="28"/>
      <c r="AA193" s="29"/>
      <c r="AB193" s="29"/>
      <c r="AC193" s="30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T194" s="28"/>
      <c r="U194" s="28"/>
      <c r="V194" s="28"/>
      <c r="W194" s="28"/>
      <c r="X194" s="28"/>
      <c r="Y194" s="28"/>
      <c r="AA194" s="29"/>
      <c r="AB194" s="29"/>
      <c r="AC194" s="30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T195" s="28"/>
      <c r="U195" s="28"/>
      <c r="V195" s="28"/>
      <c r="W195" s="28"/>
      <c r="X195" s="28"/>
      <c r="Y195" s="28"/>
      <c r="AA195" s="29"/>
      <c r="AB195" s="29"/>
      <c r="AC195" s="30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T196" s="28"/>
      <c r="U196" s="28"/>
      <c r="V196" s="28"/>
      <c r="W196" s="28"/>
      <c r="X196" s="28"/>
      <c r="Y196" s="28"/>
      <c r="AA196" s="29"/>
      <c r="AB196" s="29"/>
      <c r="AC196" s="30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T197" s="28"/>
      <c r="U197" s="28"/>
      <c r="V197" s="28"/>
      <c r="W197" s="28"/>
      <c r="X197" s="28"/>
      <c r="Y197" s="28"/>
      <c r="AA197" s="29"/>
      <c r="AB197" s="29"/>
      <c r="AC197" s="30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T198" s="28"/>
      <c r="U198" s="28"/>
      <c r="V198" s="28"/>
      <c r="W198" s="28"/>
      <c r="X198" s="28"/>
      <c r="Y198" s="28"/>
      <c r="AA198" s="29"/>
      <c r="AB198" s="29"/>
      <c r="AC198" s="30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T199" s="28"/>
      <c r="U199" s="28"/>
      <c r="V199" s="28"/>
      <c r="W199" s="28"/>
      <c r="X199" s="28"/>
      <c r="Y199" s="28"/>
      <c r="AA199" s="29"/>
      <c r="AB199" s="29"/>
      <c r="AC199" s="30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T200" s="28"/>
      <c r="U200" s="28"/>
      <c r="V200" s="28"/>
      <c r="W200" s="28"/>
      <c r="X200" s="28"/>
      <c r="Y200" s="28"/>
      <c r="AA200" s="29"/>
      <c r="AB200" s="29"/>
      <c r="AC200" s="30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T201" s="28"/>
      <c r="U201" s="28"/>
      <c r="V201" s="28"/>
      <c r="W201" s="28"/>
      <c r="X201" s="28"/>
      <c r="Y201" s="28"/>
      <c r="AA201" s="29"/>
      <c r="AB201" s="29"/>
      <c r="AC201" s="30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T202" s="28"/>
      <c r="U202" s="28"/>
      <c r="V202" s="28"/>
      <c r="W202" s="28"/>
      <c r="X202" s="28"/>
      <c r="Y202" s="28"/>
      <c r="AA202" s="29"/>
      <c r="AB202" s="29"/>
      <c r="AC202" s="30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T203" s="28"/>
      <c r="U203" s="28"/>
      <c r="V203" s="28"/>
      <c r="W203" s="28"/>
      <c r="X203" s="28"/>
      <c r="Y203" s="28"/>
      <c r="AA203" s="29"/>
      <c r="AB203" s="29"/>
      <c r="AC203" s="30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T204" s="28"/>
      <c r="U204" s="28"/>
      <c r="V204" s="28"/>
      <c r="W204" s="28"/>
      <c r="X204" s="28"/>
      <c r="Y204" s="28"/>
      <c r="AA204" s="29"/>
      <c r="AB204" s="29"/>
      <c r="AC204" s="30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T205" s="28"/>
      <c r="U205" s="28"/>
      <c r="V205" s="28"/>
      <c r="W205" s="28"/>
      <c r="X205" s="28"/>
      <c r="Y205" s="28"/>
      <c r="AA205" s="29"/>
      <c r="AB205" s="29"/>
      <c r="AC205" s="30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T206" s="28"/>
      <c r="U206" s="28"/>
      <c r="V206" s="28"/>
      <c r="W206" s="28"/>
      <c r="X206" s="28"/>
      <c r="Y206" s="28"/>
      <c r="AA206" s="29"/>
      <c r="AB206" s="29"/>
      <c r="AC206" s="30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T207" s="28"/>
      <c r="U207" s="28"/>
      <c r="V207" s="28"/>
      <c r="W207" s="28"/>
      <c r="X207" s="28"/>
      <c r="Y207" s="28"/>
      <c r="AA207" s="29"/>
      <c r="AB207" s="29"/>
      <c r="AC207" s="30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T208" s="28"/>
      <c r="U208" s="28"/>
      <c r="V208" s="28"/>
      <c r="W208" s="28"/>
      <c r="X208" s="28"/>
      <c r="Y208" s="28"/>
      <c r="AA208" s="29"/>
      <c r="AB208" s="29"/>
      <c r="AC208" s="30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T209" s="28"/>
      <c r="U209" s="28"/>
      <c r="V209" s="28"/>
      <c r="W209" s="28"/>
      <c r="X209" s="28"/>
      <c r="Y209" s="28"/>
      <c r="AA209" s="29"/>
      <c r="AB209" s="29"/>
      <c r="AC209" s="30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T210" s="28"/>
      <c r="U210" s="28"/>
      <c r="V210" s="28"/>
      <c r="W210" s="28"/>
      <c r="X210" s="28"/>
      <c r="Y210" s="28"/>
      <c r="AA210" s="29"/>
      <c r="AB210" s="29"/>
      <c r="AC210" s="30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T211" s="28"/>
      <c r="U211" s="28"/>
      <c r="V211" s="28"/>
      <c r="W211" s="28"/>
      <c r="X211" s="28"/>
      <c r="Y211" s="28"/>
      <c r="AA211" s="29"/>
      <c r="AB211" s="29"/>
      <c r="AC211" s="30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T212" s="28"/>
      <c r="U212" s="28"/>
      <c r="V212" s="28"/>
      <c r="W212" s="28"/>
      <c r="X212" s="28"/>
      <c r="Y212" s="28"/>
      <c r="AA212" s="29"/>
      <c r="AB212" s="29"/>
      <c r="AC212" s="30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T213" s="28"/>
      <c r="U213" s="28"/>
      <c r="V213" s="28"/>
      <c r="W213" s="28"/>
      <c r="X213" s="28"/>
      <c r="Y213" s="28"/>
      <c r="AA213" s="29"/>
      <c r="AB213" s="29"/>
      <c r="AC213" s="30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T214" s="28"/>
      <c r="U214" s="28"/>
      <c r="V214" s="28"/>
      <c r="W214" s="28"/>
      <c r="X214" s="28"/>
      <c r="Y214" s="28"/>
      <c r="AA214" s="29"/>
      <c r="AB214" s="29"/>
      <c r="AC214" s="30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T215" s="28"/>
      <c r="U215" s="28"/>
      <c r="V215" s="28"/>
      <c r="W215" s="28"/>
      <c r="X215" s="28"/>
      <c r="Y215" s="28"/>
      <c r="AA215" s="29"/>
      <c r="AB215" s="29"/>
      <c r="AC215" s="30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T216" s="28"/>
      <c r="U216" s="28"/>
      <c r="V216" s="28"/>
      <c r="W216" s="28"/>
      <c r="X216" s="28"/>
      <c r="Y216" s="28"/>
      <c r="AA216" s="29"/>
      <c r="AB216" s="29"/>
      <c r="AC216" s="30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T217" s="28"/>
      <c r="U217" s="28"/>
      <c r="V217" s="28"/>
      <c r="W217" s="28"/>
      <c r="X217" s="28"/>
      <c r="Y217" s="28"/>
      <c r="AA217" s="29"/>
      <c r="AB217" s="29"/>
      <c r="AC217" s="30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T218" s="28"/>
      <c r="U218" s="28"/>
      <c r="V218" s="28"/>
      <c r="W218" s="28"/>
      <c r="X218" s="28"/>
      <c r="Y218" s="28"/>
      <c r="AA218" s="29"/>
      <c r="AB218" s="29"/>
      <c r="AC218" s="30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T219" s="28"/>
      <c r="U219" s="28"/>
      <c r="V219" s="28"/>
      <c r="W219" s="28"/>
      <c r="X219" s="28"/>
      <c r="Y219" s="28"/>
      <c r="AA219" s="29"/>
      <c r="AB219" s="29"/>
      <c r="AC219" s="30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T220" s="28"/>
      <c r="U220" s="28"/>
      <c r="V220" s="28"/>
      <c r="W220" s="28"/>
      <c r="X220" s="28"/>
      <c r="Y220" s="28"/>
      <c r="AA220" s="29"/>
      <c r="AB220" s="29"/>
      <c r="AC220" s="30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T221" s="28"/>
      <c r="U221" s="28"/>
      <c r="V221" s="28"/>
      <c r="W221" s="28"/>
      <c r="X221" s="28"/>
      <c r="Y221" s="28"/>
      <c r="AA221" s="29"/>
      <c r="AB221" s="29"/>
      <c r="AC221" s="30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T222" s="28"/>
      <c r="U222" s="28"/>
      <c r="V222" s="28"/>
      <c r="W222" s="28"/>
      <c r="X222" s="28"/>
      <c r="Y222" s="28"/>
      <c r="AA222" s="29"/>
      <c r="AB222" s="29"/>
      <c r="AC222" s="30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T223" s="28"/>
      <c r="U223" s="28"/>
      <c r="V223" s="28"/>
      <c r="W223" s="28"/>
      <c r="X223" s="28"/>
      <c r="Y223" s="28"/>
      <c r="AA223" s="29"/>
      <c r="AB223" s="29"/>
      <c r="AC223" s="30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T224" s="28"/>
      <c r="U224" s="28"/>
      <c r="V224" s="28"/>
      <c r="W224" s="28"/>
      <c r="X224" s="28"/>
      <c r="Y224" s="28"/>
      <c r="AA224" s="29"/>
      <c r="AB224" s="29"/>
      <c r="AC224" s="30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T225" s="28"/>
      <c r="U225" s="28"/>
      <c r="V225" s="28"/>
      <c r="W225" s="28"/>
      <c r="X225" s="28"/>
      <c r="Y225" s="28"/>
      <c r="AA225" s="29"/>
      <c r="AB225" s="29"/>
      <c r="AC225" s="30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T226" s="28"/>
      <c r="U226" s="28"/>
      <c r="V226" s="28"/>
      <c r="W226" s="28"/>
      <c r="X226" s="28"/>
      <c r="Y226" s="28"/>
      <c r="AA226" s="29"/>
      <c r="AB226" s="29"/>
      <c r="AC226" s="30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T227" s="28"/>
      <c r="U227" s="28"/>
      <c r="V227" s="28"/>
      <c r="W227" s="28"/>
      <c r="X227" s="28"/>
      <c r="Y227" s="28"/>
      <c r="AA227" s="29"/>
      <c r="AB227" s="29"/>
      <c r="AC227" s="30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T228" s="28"/>
      <c r="U228" s="28"/>
      <c r="V228" s="28"/>
      <c r="W228" s="28"/>
      <c r="X228" s="28"/>
      <c r="Y228" s="28"/>
      <c r="AA228" s="29"/>
      <c r="AB228" s="29"/>
      <c r="AC228" s="30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T229" s="28"/>
      <c r="U229" s="28"/>
      <c r="V229" s="28"/>
      <c r="W229" s="28"/>
      <c r="X229" s="28"/>
      <c r="Y229" s="28"/>
      <c r="AA229" s="29"/>
      <c r="AB229" s="29"/>
      <c r="AC229" s="30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T230" s="28"/>
      <c r="U230" s="28"/>
      <c r="V230" s="28"/>
      <c r="W230" s="28"/>
      <c r="X230" s="28"/>
      <c r="Y230" s="28"/>
      <c r="AA230" s="29"/>
      <c r="AB230" s="29"/>
      <c r="AC230" s="30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T231" s="28"/>
      <c r="U231" s="28"/>
      <c r="V231" s="28"/>
      <c r="W231" s="28"/>
      <c r="X231" s="28"/>
      <c r="Y231" s="28"/>
      <c r="AA231" s="29"/>
      <c r="AB231" s="29"/>
      <c r="AC231" s="30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T232" s="28"/>
      <c r="U232" s="28"/>
      <c r="V232" s="28"/>
      <c r="W232" s="28"/>
      <c r="X232" s="28"/>
      <c r="Y232" s="28"/>
      <c r="AA232" s="29"/>
      <c r="AB232" s="29"/>
      <c r="AC232" s="30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T233" s="28"/>
      <c r="U233" s="28"/>
      <c r="V233" s="28"/>
      <c r="W233" s="28"/>
      <c r="X233" s="28"/>
      <c r="Y233" s="28"/>
      <c r="AA233" s="29"/>
      <c r="AB233" s="29"/>
      <c r="AC233" s="30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T234" s="28"/>
      <c r="U234" s="28"/>
      <c r="V234" s="28"/>
      <c r="W234" s="28"/>
      <c r="X234" s="28"/>
      <c r="Y234" s="28"/>
      <c r="AA234" s="29"/>
      <c r="AB234" s="29"/>
      <c r="AC234" s="30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T235" s="28"/>
      <c r="U235" s="28"/>
      <c r="V235" s="28"/>
      <c r="W235" s="28"/>
      <c r="X235" s="28"/>
      <c r="Y235" s="28"/>
      <c r="AA235" s="29"/>
      <c r="AB235" s="29"/>
      <c r="AC235" s="30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T236" s="28"/>
      <c r="U236" s="28"/>
      <c r="V236" s="28"/>
      <c r="W236" s="28"/>
      <c r="X236" s="28"/>
      <c r="Y236" s="28"/>
      <c r="AA236" s="29"/>
      <c r="AB236" s="29"/>
      <c r="AC236" s="30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T237" s="28"/>
      <c r="U237" s="28"/>
      <c r="V237" s="28"/>
      <c r="W237" s="28"/>
      <c r="X237" s="28"/>
      <c r="Y237" s="28"/>
      <c r="AA237" s="29"/>
      <c r="AB237" s="29"/>
      <c r="AC237" s="30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T238" s="28"/>
      <c r="U238" s="28"/>
      <c r="V238" s="28"/>
      <c r="W238" s="28"/>
      <c r="X238" s="28"/>
      <c r="Y238" s="28"/>
      <c r="AA238" s="29"/>
      <c r="AB238" s="29"/>
      <c r="AC238" s="30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T239" s="28"/>
      <c r="U239" s="28"/>
      <c r="V239" s="28"/>
      <c r="W239" s="28"/>
      <c r="X239" s="28"/>
      <c r="Y239" s="28"/>
      <c r="AA239" s="29"/>
      <c r="AB239" s="29"/>
      <c r="AC239" s="30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T240" s="28"/>
      <c r="U240" s="28"/>
      <c r="V240" s="28"/>
      <c r="W240" s="28"/>
      <c r="X240" s="28"/>
      <c r="Y240" s="28"/>
      <c r="AA240" s="29"/>
      <c r="AB240" s="29"/>
      <c r="AC240" s="30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T241" s="28"/>
      <c r="U241" s="28"/>
      <c r="V241" s="28"/>
      <c r="W241" s="28"/>
      <c r="X241" s="28"/>
      <c r="Y241" s="28"/>
      <c r="AA241" s="29"/>
      <c r="AB241" s="29"/>
      <c r="AC241" s="30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T242" s="28"/>
      <c r="U242" s="28"/>
      <c r="V242" s="28"/>
      <c r="W242" s="28"/>
      <c r="X242" s="28"/>
      <c r="Y242" s="28"/>
      <c r="AA242" s="29"/>
      <c r="AB242" s="29"/>
      <c r="AC242" s="30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T243" s="28"/>
      <c r="U243" s="28"/>
      <c r="V243" s="28"/>
      <c r="W243" s="28"/>
      <c r="X243" s="28"/>
      <c r="Y243" s="28"/>
      <c r="AA243" s="29"/>
      <c r="AB243" s="29"/>
      <c r="AC243" s="30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T244" s="28"/>
      <c r="U244" s="28"/>
      <c r="V244" s="28"/>
      <c r="W244" s="28"/>
      <c r="X244" s="28"/>
      <c r="Y244" s="28"/>
      <c r="AA244" s="29"/>
      <c r="AB244" s="29"/>
      <c r="AC244" s="30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T245" s="28"/>
      <c r="U245" s="28"/>
      <c r="V245" s="28"/>
      <c r="W245" s="28"/>
      <c r="X245" s="28"/>
      <c r="Y245" s="28"/>
      <c r="AA245" s="29"/>
      <c r="AB245" s="29"/>
      <c r="AC245" s="30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T246" s="28"/>
      <c r="U246" s="28"/>
      <c r="V246" s="28"/>
      <c r="W246" s="28"/>
      <c r="X246" s="28"/>
      <c r="Y246" s="28"/>
      <c r="AA246" s="29"/>
      <c r="AB246" s="29"/>
      <c r="AC246" s="30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T247" s="28"/>
      <c r="U247" s="28"/>
      <c r="V247" s="28"/>
      <c r="W247" s="28"/>
      <c r="X247" s="28"/>
      <c r="Y247" s="28"/>
      <c r="AA247" s="29"/>
      <c r="AB247" s="29"/>
      <c r="AC247" s="30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T248" s="28"/>
      <c r="U248" s="28"/>
      <c r="V248" s="28"/>
      <c r="W248" s="28"/>
      <c r="X248" s="28"/>
      <c r="Y248" s="28"/>
      <c r="AA248" s="29"/>
      <c r="AB248" s="29"/>
      <c r="AC248" s="30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T249" s="28"/>
      <c r="U249" s="28"/>
      <c r="V249" s="28"/>
      <c r="W249" s="28"/>
      <c r="X249" s="28"/>
      <c r="Y249" s="28"/>
      <c r="AA249" s="29"/>
      <c r="AB249" s="29"/>
      <c r="AC249" s="30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T250" s="28"/>
      <c r="U250" s="28"/>
      <c r="V250" s="28"/>
      <c r="W250" s="28"/>
      <c r="X250" s="28"/>
      <c r="Y250" s="28"/>
      <c r="AA250" s="29"/>
      <c r="AB250" s="29"/>
      <c r="AC250" s="30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T251" s="28"/>
      <c r="U251" s="28"/>
      <c r="V251" s="28"/>
      <c r="W251" s="28"/>
      <c r="X251" s="28"/>
      <c r="Y251" s="28"/>
      <c r="AA251" s="29"/>
      <c r="AB251" s="29"/>
      <c r="AC251" s="30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T252" s="28"/>
      <c r="U252" s="28"/>
      <c r="V252" s="28"/>
      <c r="W252" s="28"/>
      <c r="X252" s="28"/>
      <c r="Y252" s="28"/>
      <c r="AA252" s="29"/>
      <c r="AB252" s="29"/>
      <c r="AC252" s="30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T253" s="28"/>
      <c r="U253" s="28"/>
      <c r="V253" s="28"/>
      <c r="W253" s="28"/>
      <c r="X253" s="28"/>
      <c r="Y253" s="28"/>
      <c r="AA253" s="29"/>
      <c r="AB253" s="29"/>
      <c r="AC253" s="30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T254" s="28"/>
      <c r="U254" s="28"/>
      <c r="V254" s="28"/>
      <c r="W254" s="28"/>
      <c r="X254" s="28"/>
      <c r="Y254" s="28"/>
      <c r="AA254" s="29"/>
      <c r="AB254" s="29"/>
      <c r="AC254" s="30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T255" s="28"/>
      <c r="U255" s="28"/>
      <c r="V255" s="28"/>
      <c r="W255" s="28"/>
      <c r="X255" s="28"/>
      <c r="Y255" s="28"/>
      <c r="AA255" s="29"/>
      <c r="AB255" s="29"/>
      <c r="AC255" s="30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T256" s="28"/>
      <c r="U256" s="28"/>
      <c r="V256" s="28"/>
      <c r="W256" s="28"/>
      <c r="X256" s="28"/>
      <c r="Y256" s="28"/>
      <c r="AA256" s="29"/>
      <c r="AB256" s="29"/>
      <c r="AC256" s="30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T257" s="28"/>
      <c r="U257" s="28"/>
      <c r="V257" s="28"/>
      <c r="W257" s="28"/>
      <c r="X257" s="28"/>
      <c r="Y257" s="28"/>
      <c r="AA257" s="29"/>
      <c r="AB257" s="29"/>
      <c r="AC257" s="30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T258" s="28"/>
      <c r="U258" s="28"/>
      <c r="V258" s="28"/>
      <c r="W258" s="28"/>
      <c r="X258" s="28"/>
      <c r="Y258" s="28"/>
      <c r="AA258" s="29"/>
      <c r="AB258" s="29"/>
      <c r="AC258" s="30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T259" s="28"/>
      <c r="U259" s="28"/>
      <c r="V259" s="28"/>
      <c r="W259" s="28"/>
      <c r="X259" s="28"/>
      <c r="Y259" s="28"/>
      <c r="AA259" s="29"/>
      <c r="AB259" s="29"/>
      <c r="AC259" s="30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T260" s="28"/>
      <c r="U260" s="28"/>
      <c r="V260" s="28"/>
      <c r="W260" s="28"/>
      <c r="X260" s="28"/>
      <c r="Y260" s="28"/>
      <c r="AA260" s="29"/>
      <c r="AB260" s="29"/>
      <c r="AC260" s="30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T261" s="28"/>
      <c r="U261" s="28"/>
      <c r="V261" s="28"/>
      <c r="W261" s="28"/>
      <c r="X261" s="28"/>
      <c r="Y261" s="28"/>
      <c r="AA261" s="29"/>
      <c r="AB261" s="29"/>
      <c r="AC261" s="30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T262" s="28"/>
      <c r="U262" s="28"/>
      <c r="V262" s="28"/>
      <c r="W262" s="28"/>
      <c r="X262" s="28"/>
      <c r="Y262" s="28"/>
      <c r="AA262" s="29"/>
      <c r="AB262" s="29"/>
      <c r="AC262" s="30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T263" s="28"/>
      <c r="U263" s="28"/>
      <c r="V263" s="28"/>
      <c r="W263" s="28"/>
      <c r="X263" s="28"/>
      <c r="Y263" s="28"/>
      <c r="AA263" s="29"/>
      <c r="AB263" s="29"/>
      <c r="AC263" s="30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T264" s="28"/>
      <c r="U264" s="28"/>
      <c r="V264" s="28"/>
      <c r="W264" s="28"/>
      <c r="X264" s="28"/>
      <c r="Y264" s="28"/>
      <c r="AA264" s="29"/>
      <c r="AB264" s="29"/>
      <c r="AC264" s="30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T265" s="28"/>
      <c r="U265" s="28"/>
      <c r="V265" s="28"/>
      <c r="W265" s="28"/>
      <c r="X265" s="28"/>
      <c r="Y265" s="28"/>
      <c r="AA265" s="29"/>
      <c r="AB265" s="29"/>
      <c r="AC265" s="30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T266" s="28"/>
      <c r="U266" s="28"/>
      <c r="V266" s="28"/>
      <c r="W266" s="28"/>
      <c r="X266" s="28"/>
      <c r="Y266" s="28"/>
      <c r="AA266" s="29"/>
      <c r="AB266" s="29"/>
      <c r="AC266" s="30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T267" s="28"/>
      <c r="U267" s="28"/>
      <c r="V267" s="28"/>
      <c r="W267" s="28"/>
      <c r="X267" s="28"/>
      <c r="Y267" s="28"/>
      <c r="AA267" s="29"/>
      <c r="AB267" s="29"/>
      <c r="AC267" s="30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T268" s="28"/>
      <c r="U268" s="28"/>
      <c r="V268" s="28"/>
      <c r="W268" s="28"/>
      <c r="X268" s="28"/>
      <c r="Y268" s="28"/>
      <c r="AA268" s="29"/>
      <c r="AB268" s="29"/>
      <c r="AC268" s="30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T269" s="28"/>
      <c r="U269" s="28"/>
      <c r="V269" s="28"/>
      <c r="W269" s="28"/>
      <c r="X269" s="28"/>
      <c r="Y269" s="28"/>
      <c r="AA269" s="29"/>
      <c r="AB269" s="29"/>
      <c r="AC269" s="30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T270" s="28"/>
      <c r="U270" s="28"/>
      <c r="V270" s="28"/>
      <c r="W270" s="28"/>
      <c r="X270" s="28"/>
      <c r="Y270" s="28"/>
      <c r="AA270" s="29"/>
      <c r="AB270" s="29"/>
      <c r="AC270" s="30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T271" s="28"/>
      <c r="U271" s="28"/>
      <c r="V271" s="28"/>
      <c r="W271" s="28"/>
      <c r="X271" s="28"/>
      <c r="Y271" s="28"/>
      <c r="AA271" s="29"/>
      <c r="AB271" s="29"/>
      <c r="AC271" s="30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T272" s="28"/>
      <c r="U272" s="28"/>
      <c r="V272" s="28"/>
      <c r="W272" s="28"/>
      <c r="X272" s="28"/>
      <c r="Y272" s="28"/>
      <c r="AA272" s="29"/>
      <c r="AB272" s="29"/>
      <c r="AC272" s="30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T273" s="28"/>
      <c r="U273" s="28"/>
      <c r="V273" s="28"/>
      <c r="W273" s="28"/>
      <c r="X273" s="28"/>
      <c r="Y273" s="28"/>
      <c r="AA273" s="29"/>
      <c r="AB273" s="29"/>
      <c r="AC273" s="30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T274" s="28"/>
      <c r="U274" s="28"/>
      <c r="V274" s="28"/>
      <c r="W274" s="28"/>
      <c r="X274" s="28"/>
      <c r="Y274" s="28"/>
      <c r="AA274" s="29"/>
      <c r="AB274" s="29"/>
      <c r="AC274" s="30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T275" s="28"/>
      <c r="U275" s="28"/>
      <c r="V275" s="28"/>
      <c r="W275" s="28"/>
      <c r="X275" s="28"/>
      <c r="Y275" s="28"/>
      <c r="AA275" s="29"/>
      <c r="AB275" s="29"/>
      <c r="AC275" s="30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T276" s="28"/>
      <c r="U276" s="28"/>
      <c r="V276" s="28"/>
      <c r="W276" s="28"/>
      <c r="X276" s="28"/>
      <c r="Y276" s="28"/>
      <c r="AA276" s="29"/>
      <c r="AB276" s="29"/>
      <c r="AC276" s="30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T277" s="28"/>
      <c r="U277" s="28"/>
      <c r="V277" s="28"/>
      <c r="W277" s="28"/>
      <c r="X277" s="28"/>
      <c r="Y277" s="28"/>
      <c r="AA277" s="29"/>
      <c r="AB277" s="29"/>
      <c r="AC277" s="30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T278" s="28"/>
      <c r="U278" s="28"/>
      <c r="V278" s="28"/>
      <c r="W278" s="28"/>
      <c r="X278" s="28"/>
      <c r="Y278" s="28"/>
      <c r="AA278" s="29"/>
      <c r="AB278" s="29"/>
      <c r="AC278" s="30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T279" s="28"/>
      <c r="U279" s="28"/>
      <c r="V279" s="28"/>
      <c r="W279" s="28"/>
      <c r="X279" s="28"/>
      <c r="Y279" s="28"/>
      <c r="AA279" s="29"/>
      <c r="AB279" s="29"/>
      <c r="AC279" s="30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T280" s="28"/>
      <c r="U280" s="28"/>
      <c r="V280" s="28"/>
      <c r="W280" s="28"/>
      <c r="X280" s="28"/>
      <c r="Y280" s="28"/>
      <c r="AA280" s="29"/>
      <c r="AB280" s="29"/>
      <c r="AC280" s="30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</row>
  </sheetData>
  <conditionalFormatting sqref="A1:C1 Q1:Q169 R1:W280 X1:Y1 A3:C3 X3:Y280 Z3:AA3 AB3:AG280 A33:I33 J33:J35 K33:N33 A35:I35 K35:N35 A37:N37">
    <cfRule type="containsText" dxfId="0" priority="1" operator="containsText" text="Match found">
      <formula>NOT(ISERROR(SEARCH(("Match found"),(A1))))</formula>
    </cfRule>
  </conditionalFormatting>
  <hyperlinks>
    <hyperlink display="Input positions for SASA MDs" location="SASA_MD!A1" ref="A68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59</v>
      </c>
    </row>
    <row r="2">
      <c r="A2" s="8" t="s">
        <v>60</v>
      </c>
    </row>
    <row r="3">
      <c r="A3" s="67" t="s">
        <v>61</v>
      </c>
    </row>
    <row r="4">
      <c r="A4" s="68" t="s">
        <v>62</v>
      </c>
      <c r="B4" s="69" t="s">
        <v>27</v>
      </c>
      <c r="C4" s="70"/>
      <c r="D4" s="69" t="s">
        <v>28</v>
      </c>
      <c r="E4" s="70"/>
      <c r="F4" s="69" t="s">
        <v>29</v>
      </c>
      <c r="G4" s="70"/>
      <c r="H4" s="69" t="s">
        <v>30</v>
      </c>
      <c r="I4" s="70"/>
      <c r="J4" s="69" t="s">
        <v>31</v>
      </c>
      <c r="K4" s="70"/>
      <c r="L4" s="69" t="s">
        <v>32</v>
      </c>
      <c r="M4" s="70"/>
    </row>
    <row r="5">
      <c r="A5" s="71"/>
      <c r="B5" s="72" t="s">
        <v>63</v>
      </c>
      <c r="C5" s="73" t="s">
        <v>0</v>
      </c>
      <c r="D5" s="72" t="s">
        <v>63</v>
      </c>
      <c r="E5" s="73" t="s">
        <v>0</v>
      </c>
      <c r="F5" s="72" t="s">
        <v>63</v>
      </c>
      <c r="G5" s="73" t="s">
        <v>0</v>
      </c>
      <c r="H5" s="72" t="s">
        <v>63</v>
      </c>
      <c r="I5" s="73" t="s">
        <v>0</v>
      </c>
      <c r="J5" s="72" t="s">
        <v>63</v>
      </c>
      <c r="K5" s="73" t="s">
        <v>0</v>
      </c>
      <c r="L5" s="72" t="s">
        <v>63</v>
      </c>
      <c r="M5" s="73" t="s">
        <v>0</v>
      </c>
    </row>
    <row r="6">
      <c r="A6" s="74">
        <v>1.0</v>
      </c>
      <c r="B6" s="75" t="s">
        <v>30</v>
      </c>
      <c r="C6" s="76" t="s">
        <v>11</v>
      </c>
      <c r="D6" s="77" t="s">
        <v>64</v>
      </c>
      <c r="E6" s="78" t="s">
        <v>64</v>
      </c>
      <c r="F6" s="77" t="s">
        <v>64</v>
      </c>
      <c r="G6" s="78" t="s">
        <v>64</v>
      </c>
      <c r="H6" s="75" t="s">
        <v>27</v>
      </c>
      <c r="I6" s="76" t="s">
        <v>15</v>
      </c>
      <c r="J6" s="77" t="s">
        <v>64</v>
      </c>
      <c r="K6" s="78" t="s">
        <v>64</v>
      </c>
      <c r="L6" s="79" t="s">
        <v>27</v>
      </c>
      <c r="M6" s="80" t="s">
        <v>15</v>
      </c>
    </row>
    <row r="7">
      <c r="A7" s="74">
        <v>2.0</v>
      </c>
      <c r="B7" s="75" t="s">
        <v>30</v>
      </c>
      <c r="C7" s="76" t="s">
        <v>6</v>
      </c>
      <c r="D7" s="77" t="s">
        <v>64</v>
      </c>
      <c r="E7" s="78" t="s">
        <v>64</v>
      </c>
      <c r="F7" s="77" t="s">
        <v>64</v>
      </c>
      <c r="G7" s="78" t="s">
        <v>64</v>
      </c>
      <c r="H7" s="75" t="s">
        <v>27</v>
      </c>
      <c r="I7" s="76" t="s">
        <v>9</v>
      </c>
      <c r="J7" s="77" t="s">
        <v>64</v>
      </c>
      <c r="K7" s="78" t="s">
        <v>64</v>
      </c>
      <c r="L7" s="81" t="s">
        <v>27</v>
      </c>
      <c r="M7" s="76" t="s">
        <v>9</v>
      </c>
    </row>
    <row r="8">
      <c r="A8" s="74">
        <v>3.0</v>
      </c>
      <c r="B8" s="75" t="s">
        <v>30</v>
      </c>
      <c r="C8" s="76" t="s">
        <v>6</v>
      </c>
      <c r="D8" s="77" t="s">
        <v>64</v>
      </c>
      <c r="E8" s="78" t="s">
        <v>64</v>
      </c>
      <c r="F8" s="77" t="s">
        <v>64</v>
      </c>
      <c r="G8" s="78" t="s">
        <v>64</v>
      </c>
      <c r="H8" s="75" t="s">
        <v>27</v>
      </c>
      <c r="I8" s="76" t="s">
        <v>9</v>
      </c>
      <c r="J8" s="77" t="s">
        <v>64</v>
      </c>
      <c r="K8" s="78" t="s">
        <v>64</v>
      </c>
      <c r="L8" s="77"/>
      <c r="M8" s="78"/>
    </row>
    <row r="9">
      <c r="A9" s="74">
        <v>4.0</v>
      </c>
      <c r="B9" s="75" t="s">
        <v>30</v>
      </c>
      <c r="C9" s="76" t="s">
        <v>11</v>
      </c>
      <c r="D9" s="77" t="s">
        <v>64</v>
      </c>
      <c r="E9" s="78" t="s">
        <v>64</v>
      </c>
      <c r="F9" s="77" t="s">
        <v>64</v>
      </c>
      <c r="G9" s="78" t="s">
        <v>64</v>
      </c>
      <c r="H9" s="82"/>
      <c r="I9" s="78"/>
      <c r="J9" s="77" t="s">
        <v>64</v>
      </c>
      <c r="K9" s="78" t="s">
        <v>64</v>
      </c>
      <c r="L9" s="81"/>
      <c r="M9" s="76"/>
    </row>
    <row r="10">
      <c r="A10" s="74">
        <v>5.0</v>
      </c>
      <c r="B10" s="75" t="s">
        <v>30</v>
      </c>
      <c r="C10" s="76" t="s">
        <v>4</v>
      </c>
      <c r="D10" s="77" t="s">
        <v>64</v>
      </c>
      <c r="E10" s="78" t="s">
        <v>64</v>
      </c>
      <c r="F10" s="77" t="s">
        <v>64</v>
      </c>
      <c r="G10" s="78" t="s">
        <v>64</v>
      </c>
      <c r="H10" s="75" t="s">
        <v>27</v>
      </c>
      <c r="I10" s="76" t="s">
        <v>15</v>
      </c>
      <c r="J10" s="77" t="s">
        <v>64</v>
      </c>
      <c r="K10" s="78" t="s">
        <v>64</v>
      </c>
      <c r="L10" s="75" t="s">
        <v>27</v>
      </c>
      <c r="M10" s="76" t="s">
        <v>15</v>
      </c>
    </row>
    <row r="11">
      <c r="A11" s="74">
        <v>6.0</v>
      </c>
      <c r="B11" s="75" t="s">
        <v>30</v>
      </c>
      <c r="C11" s="76" t="s">
        <v>10</v>
      </c>
      <c r="D11" s="77" t="s">
        <v>64</v>
      </c>
      <c r="E11" s="78" t="s">
        <v>64</v>
      </c>
      <c r="F11" s="77" t="s">
        <v>64</v>
      </c>
      <c r="G11" s="78" t="s">
        <v>64</v>
      </c>
      <c r="H11" s="82"/>
      <c r="I11" s="78"/>
      <c r="J11" s="77" t="s">
        <v>64</v>
      </c>
      <c r="K11" s="78" t="s">
        <v>64</v>
      </c>
      <c r="L11" s="81"/>
      <c r="M11" s="76"/>
    </row>
    <row r="12">
      <c r="A12" s="74">
        <v>7.0</v>
      </c>
      <c r="B12" s="75" t="s">
        <v>30</v>
      </c>
      <c r="C12" s="76" t="s">
        <v>11</v>
      </c>
      <c r="D12" s="77" t="s">
        <v>64</v>
      </c>
      <c r="E12" s="78" t="s">
        <v>64</v>
      </c>
      <c r="F12" s="77" t="s">
        <v>64</v>
      </c>
      <c r="G12" s="78" t="s">
        <v>64</v>
      </c>
      <c r="H12" s="75" t="s">
        <v>27</v>
      </c>
      <c r="I12" s="76" t="s">
        <v>15</v>
      </c>
      <c r="J12" s="77" t="s">
        <v>64</v>
      </c>
      <c r="K12" s="78" t="s">
        <v>64</v>
      </c>
      <c r="L12" s="75" t="s">
        <v>27</v>
      </c>
      <c r="M12" s="76" t="s">
        <v>9</v>
      </c>
    </row>
    <row r="13">
      <c r="A13" s="74">
        <v>8.0</v>
      </c>
      <c r="B13" s="75" t="s">
        <v>30</v>
      </c>
      <c r="C13" s="76" t="s">
        <v>11</v>
      </c>
      <c r="D13" s="77" t="s">
        <v>64</v>
      </c>
      <c r="E13" s="78" t="s">
        <v>64</v>
      </c>
      <c r="F13" s="77" t="s">
        <v>64</v>
      </c>
      <c r="G13" s="78" t="s">
        <v>64</v>
      </c>
      <c r="H13" s="75" t="s">
        <v>27</v>
      </c>
      <c r="I13" s="76" t="s">
        <v>8</v>
      </c>
      <c r="J13" s="77" t="s">
        <v>64</v>
      </c>
      <c r="K13" s="78" t="s">
        <v>64</v>
      </c>
      <c r="L13" s="77"/>
      <c r="M13" s="78"/>
    </row>
    <row r="14">
      <c r="A14" s="74">
        <v>9.0</v>
      </c>
      <c r="B14" s="75" t="s">
        <v>30</v>
      </c>
      <c r="C14" s="76" t="s">
        <v>7</v>
      </c>
      <c r="D14" s="77" t="s">
        <v>64</v>
      </c>
      <c r="E14" s="78" t="s">
        <v>64</v>
      </c>
      <c r="F14" s="77" t="s">
        <v>64</v>
      </c>
      <c r="G14" s="78" t="s">
        <v>64</v>
      </c>
      <c r="H14" s="75" t="s">
        <v>27</v>
      </c>
      <c r="I14" s="76" t="s">
        <v>9</v>
      </c>
      <c r="J14" s="77" t="s">
        <v>64</v>
      </c>
      <c r="K14" s="78" t="s">
        <v>64</v>
      </c>
      <c r="L14" s="75" t="s">
        <v>27</v>
      </c>
      <c r="M14" s="76" t="s">
        <v>8</v>
      </c>
    </row>
    <row r="15">
      <c r="A15" s="74">
        <v>10.0</v>
      </c>
      <c r="B15" s="75" t="s">
        <v>30</v>
      </c>
      <c r="C15" s="76" t="s">
        <v>10</v>
      </c>
      <c r="D15" s="77" t="s">
        <v>64</v>
      </c>
      <c r="E15" s="78" t="s">
        <v>64</v>
      </c>
      <c r="F15" s="77" t="s">
        <v>64</v>
      </c>
      <c r="G15" s="78" t="s">
        <v>64</v>
      </c>
      <c r="H15" s="82"/>
      <c r="I15" s="78"/>
      <c r="J15" s="77" t="s">
        <v>64</v>
      </c>
      <c r="K15" s="78" t="s">
        <v>64</v>
      </c>
      <c r="L15" s="75" t="s">
        <v>27</v>
      </c>
      <c r="M15" s="76" t="s">
        <v>15</v>
      </c>
    </row>
    <row r="16">
      <c r="A16" s="7"/>
      <c r="B16" s="7"/>
      <c r="C16" s="7"/>
      <c r="D16" s="7"/>
      <c r="E16" s="7"/>
      <c r="F16" s="7"/>
      <c r="G16" s="7"/>
      <c r="H16" s="8"/>
      <c r="I16" s="8"/>
      <c r="J16" s="7"/>
      <c r="K16" s="7"/>
      <c r="L16" s="7"/>
      <c r="M16" s="7"/>
    </row>
    <row r="17">
      <c r="A17" s="7"/>
      <c r="B17" s="7"/>
      <c r="C17" s="7"/>
      <c r="D17" s="7"/>
      <c r="E17" s="7"/>
      <c r="F17" s="7"/>
      <c r="G17" s="7"/>
      <c r="H17" s="8"/>
      <c r="I17" s="8"/>
      <c r="J17" s="7"/>
      <c r="K17" s="7"/>
      <c r="L17" s="7"/>
      <c r="M17" s="7"/>
    </row>
    <row r="18">
      <c r="A18" s="68" t="s">
        <v>65</v>
      </c>
      <c r="B18" s="69" t="s">
        <v>27</v>
      </c>
      <c r="C18" s="70"/>
      <c r="D18" s="69" t="s">
        <v>28</v>
      </c>
      <c r="E18" s="70"/>
      <c r="F18" s="69" t="s">
        <v>29</v>
      </c>
      <c r="G18" s="70"/>
      <c r="H18" s="69" t="s">
        <v>30</v>
      </c>
      <c r="I18" s="70"/>
      <c r="J18" s="69" t="s">
        <v>31</v>
      </c>
      <c r="K18" s="70"/>
      <c r="L18" s="69" t="s">
        <v>32</v>
      </c>
      <c r="M18" s="70"/>
    </row>
    <row r="19">
      <c r="A19" s="71"/>
      <c r="B19" s="72" t="s">
        <v>63</v>
      </c>
      <c r="C19" s="73" t="s">
        <v>0</v>
      </c>
      <c r="D19" s="72" t="s">
        <v>63</v>
      </c>
      <c r="E19" s="73" t="s">
        <v>0</v>
      </c>
      <c r="F19" s="72" t="s">
        <v>63</v>
      </c>
      <c r="G19" s="73" t="s">
        <v>0</v>
      </c>
      <c r="H19" s="72" t="s">
        <v>63</v>
      </c>
      <c r="I19" s="73" t="s">
        <v>0</v>
      </c>
      <c r="J19" s="72" t="s">
        <v>63</v>
      </c>
      <c r="K19" s="73" t="s">
        <v>0</v>
      </c>
      <c r="L19" s="72" t="s">
        <v>63</v>
      </c>
      <c r="M19" s="73" t="s">
        <v>0</v>
      </c>
    </row>
    <row r="20">
      <c r="A20" s="74">
        <v>1.0</v>
      </c>
      <c r="B20" s="77" t="s">
        <v>64</v>
      </c>
      <c r="C20" s="78" t="s">
        <v>64</v>
      </c>
      <c r="D20" s="77" t="s">
        <v>64</v>
      </c>
      <c r="E20" s="78" t="s">
        <v>64</v>
      </c>
      <c r="F20" s="77" t="s">
        <v>64</v>
      </c>
      <c r="G20" s="78" t="s">
        <v>64</v>
      </c>
      <c r="H20" s="77" t="s">
        <v>64</v>
      </c>
      <c r="I20" s="78" t="s">
        <v>64</v>
      </c>
      <c r="J20" s="75" t="s">
        <v>30</v>
      </c>
      <c r="K20" s="76" t="s">
        <v>11</v>
      </c>
      <c r="L20" s="77" t="s">
        <v>64</v>
      </c>
      <c r="M20" s="78" t="s">
        <v>64</v>
      </c>
    </row>
    <row r="21">
      <c r="A21" s="74">
        <v>2.0</v>
      </c>
      <c r="B21" s="77" t="s">
        <v>64</v>
      </c>
      <c r="C21" s="78" t="s">
        <v>64</v>
      </c>
      <c r="D21" s="77" t="s">
        <v>64</v>
      </c>
      <c r="E21" s="78" t="s">
        <v>64</v>
      </c>
      <c r="F21" s="77" t="s">
        <v>64</v>
      </c>
      <c r="G21" s="78" t="s">
        <v>64</v>
      </c>
      <c r="H21" s="77" t="s">
        <v>64</v>
      </c>
      <c r="I21" s="78" t="s">
        <v>64</v>
      </c>
      <c r="J21" s="77" t="s">
        <v>64</v>
      </c>
      <c r="K21" s="78" t="s">
        <v>64</v>
      </c>
      <c r="L21" s="77" t="s">
        <v>64</v>
      </c>
      <c r="M21" s="78" t="s">
        <v>64</v>
      </c>
    </row>
    <row r="22">
      <c r="A22" s="74">
        <v>3.0</v>
      </c>
      <c r="B22" s="77" t="s">
        <v>64</v>
      </c>
      <c r="C22" s="78" t="s">
        <v>64</v>
      </c>
      <c r="D22" s="77" t="s">
        <v>64</v>
      </c>
      <c r="E22" s="78" t="s">
        <v>64</v>
      </c>
      <c r="F22" s="77" t="s">
        <v>64</v>
      </c>
      <c r="G22" s="78" t="s">
        <v>64</v>
      </c>
      <c r="H22" s="77" t="s">
        <v>64</v>
      </c>
      <c r="I22" s="78" t="s">
        <v>64</v>
      </c>
      <c r="J22" s="77" t="s">
        <v>64</v>
      </c>
      <c r="K22" s="78" t="s">
        <v>64</v>
      </c>
      <c r="L22" s="77" t="s">
        <v>64</v>
      </c>
      <c r="M22" s="78" t="s">
        <v>64</v>
      </c>
    </row>
    <row r="23">
      <c r="A23" s="74">
        <v>4.0</v>
      </c>
      <c r="B23" s="77" t="s">
        <v>64</v>
      </c>
      <c r="C23" s="78" t="s">
        <v>64</v>
      </c>
      <c r="D23" s="77" t="s">
        <v>64</v>
      </c>
      <c r="E23" s="78" t="s">
        <v>64</v>
      </c>
      <c r="F23" s="77" t="s">
        <v>64</v>
      </c>
      <c r="G23" s="78" t="s">
        <v>64</v>
      </c>
      <c r="H23" s="77" t="s">
        <v>64</v>
      </c>
      <c r="I23" s="78" t="s">
        <v>64</v>
      </c>
      <c r="J23" s="77" t="s">
        <v>64</v>
      </c>
      <c r="K23" s="78" t="s">
        <v>64</v>
      </c>
      <c r="L23" s="77" t="s">
        <v>64</v>
      </c>
      <c r="M23" s="78" t="s">
        <v>64</v>
      </c>
    </row>
    <row r="24">
      <c r="A24" s="74">
        <v>5.0</v>
      </c>
      <c r="B24" s="77" t="s">
        <v>64</v>
      </c>
      <c r="C24" s="78" t="s">
        <v>64</v>
      </c>
      <c r="D24" s="77" t="s">
        <v>64</v>
      </c>
      <c r="E24" s="78" t="s">
        <v>64</v>
      </c>
      <c r="F24" s="77" t="s">
        <v>64</v>
      </c>
      <c r="G24" s="78" t="s">
        <v>64</v>
      </c>
      <c r="H24" s="77" t="s">
        <v>64</v>
      </c>
      <c r="I24" s="78" t="s">
        <v>64</v>
      </c>
      <c r="J24" s="77" t="s">
        <v>64</v>
      </c>
      <c r="K24" s="78" t="s">
        <v>64</v>
      </c>
      <c r="L24" s="77" t="s">
        <v>64</v>
      </c>
      <c r="M24" s="78" t="s">
        <v>64</v>
      </c>
    </row>
    <row r="25">
      <c r="A25" s="74">
        <v>6.0</v>
      </c>
      <c r="B25" s="77" t="s">
        <v>64</v>
      </c>
      <c r="C25" s="78" t="s">
        <v>64</v>
      </c>
      <c r="D25" s="77" t="s">
        <v>64</v>
      </c>
      <c r="E25" s="78" t="s">
        <v>64</v>
      </c>
      <c r="F25" s="77" t="s">
        <v>64</v>
      </c>
      <c r="G25" s="78" t="s">
        <v>64</v>
      </c>
      <c r="H25" s="77" t="s">
        <v>64</v>
      </c>
      <c r="I25" s="78" t="s">
        <v>64</v>
      </c>
      <c r="J25" s="77" t="s">
        <v>64</v>
      </c>
      <c r="K25" s="78" t="s">
        <v>64</v>
      </c>
      <c r="L25" s="77" t="s">
        <v>64</v>
      </c>
      <c r="M25" s="78" t="s">
        <v>64</v>
      </c>
    </row>
    <row r="26">
      <c r="A26" s="74">
        <v>7.0</v>
      </c>
      <c r="B26" s="77" t="s">
        <v>64</v>
      </c>
      <c r="C26" s="78" t="s">
        <v>64</v>
      </c>
      <c r="D26" s="77" t="s">
        <v>64</v>
      </c>
      <c r="E26" s="78" t="s">
        <v>64</v>
      </c>
      <c r="F26" s="77" t="s">
        <v>64</v>
      </c>
      <c r="G26" s="78" t="s">
        <v>64</v>
      </c>
      <c r="H26" s="77" t="s">
        <v>64</v>
      </c>
      <c r="I26" s="78" t="s">
        <v>64</v>
      </c>
      <c r="J26" s="77" t="s">
        <v>64</v>
      </c>
      <c r="K26" s="78" t="s">
        <v>64</v>
      </c>
      <c r="L26" s="77" t="s">
        <v>64</v>
      </c>
      <c r="M26" s="78" t="s">
        <v>64</v>
      </c>
    </row>
    <row r="27">
      <c r="A27" s="74">
        <v>8.0</v>
      </c>
      <c r="B27" s="77" t="s">
        <v>64</v>
      </c>
      <c r="C27" s="78" t="s">
        <v>64</v>
      </c>
      <c r="D27" s="77" t="s">
        <v>64</v>
      </c>
      <c r="E27" s="78" t="s">
        <v>64</v>
      </c>
      <c r="F27" s="77" t="s">
        <v>64</v>
      </c>
      <c r="G27" s="78" t="s">
        <v>64</v>
      </c>
      <c r="H27" s="77" t="s">
        <v>64</v>
      </c>
      <c r="I27" s="78" t="s">
        <v>64</v>
      </c>
      <c r="J27" s="77" t="s">
        <v>64</v>
      </c>
      <c r="K27" s="78" t="s">
        <v>64</v>
      </c>
      <c r="L27" s="77" t="s">
        <v>64</v>
      </c>
      <c r="M27" s="78" t="s">
        <v>64</v>
      </c>
    </row>
    <row r="28">
      <c r="A28" s="74">
        <v>9.0</v>
      </c>
      <c r="B28" s="77" t="s">
        <v>64</v>
      </c>
      <c r="C28" s="78" t="s">
        <v>64</v>
      </c>
      <c r="D28" s="77" t="s">
        <v>64</v>
      </c>
      <c r="E28" s="78" t="s">
        <v>64</v>
      </c>
      <c r="F28" s="77" t="s">
        <v>64</v>
      </c>
      <c r="G28" s="78" t="s">
        <v>64</v>
      </c>
      <c r="H28" s="77" t="s">
        <v>64</v>
      </c>
      <c r="I28" s="78" t="s">
        <v>64</v>
      </c>
      <c r="J28" s="77" t="s">
        <v>64</v>
      </c>
      <c r="K28" s="78" t="s">
        <v>64</v>
      </c>
      <c r="L28" s="77" t="s">
        <v>64</v>
      </c>
      <c r="M28" s="78" t="s">
        <v>64</v>
      </c>
    </row>
    <row r="29">
      <c r="A29" s="74">
        <v>10.0</v>
      </c>
      <c r="B29" s="77" t="s">
        <v>64</v>
      </c>
      <c r="C29" s="78" t="s">
        <v>64</v>
      </c>
      <c r="D29" s="77" t="s">
        <v>64</v>
      </c>
      <c r="E29" s="78" t="s">
        <v>64</v>
      </c>
      <c r="F29" s="77" t="s">
        <v>64</v>
      </c>
      <c r="G29" s="78" t="s">
        <v>64</v>
      </c>
      <c r="H29" s="77" t="s">
        <v>64</v>
      </c>
      <c r="I29" s="78" t="s">
        <v>64</v>
      </c>
      <c r="J29" s="77" t="s">
        <v>64</v>
      </c>
      <c r="K29" s="78" t="s">
        <v>64</v>
      </c>
      <c r="L29" s="77" t="s">
        <v>64</v>
      </c>
      <c r="M29" s="78" t="s">
        <v>64</v>
      </c>
    </row>
    <row r="31">
      <c r="A31" s="67" t="s">
        <v>66</v>
      </c>
    </row>
    <row r="32">
      <c r="A32" s="68" t="s">
        <v>62</v>
      </c>
      <c r="B32" s="69" t="s">
        <v>27</v>
      </c>
      <c r="C32" s="70"/>
      <c r="D32" s="69" t="s">
        <v>28</v>
      </c>
      <c r="E32" s="70"/>
      <c r="F32" s="69" t="s">
        <v>29</v>
      </c>
      <c r="G32" s="70"/>
      <c r="H32" s="69" t="s">
        <v>30</v>
      </c>
      <c r="I32" s="70"/>
      <c r="J32" s="69" t="s">
        <v>31</v>
      </c>
      <c r="K32" s="70"/>
      <c r="L32" s="69" t="s">
        <v>32</v>
      </c>
      <c r="M32" s="70"/>
    </row>
    <row r="33">
      <c r="A33" s="71"/>
      <c r="B33" s="72" t="s">
        <v>63</v>
      </c>
      <c r="C33" s="73" t="s">
        <v>0</v>
      </c>
      <c r="D33" s="72" t="s">
        <v>63</v>
      </c>
      <c r="E33" s="73" t="s">
        <v>0</v>
      </c>
      <c r="F33" s="72" t="s">
        <v>63</v>
      </c>
      <c r="G33" s="73" t="s">
        <v>0</v>
      </c>
      <c r="H33" s="72" t="s">
        <v>63</v>
      </c>
      <c r="I33" s="73" t="s">
        <v>0</v>
      </c>
      <c r="J33" s="72" t="s">
        <v>63</v>
      </c>
      <c r="K33" s="73" t="s">
        <v>0</v>
      </c>
      <c r="L33" s="72" t="s">
        <v>63</v>
      </c>
      <c r="M33" s="73" t="s">
        <v>0</v>
      </c>
    </row>
    <row r="34">
      <c r="A34" s="74">
        <v>1.0</v>
      </c>
      <c r="B34" s="83" t="s">
        <v>30</v>
      </c>
      <c r="C34" s="80" t="s">
        <v>2</v>
      </c>
      <c r="D34" s="77" t="s">
        <v>64</v>
      </c>
      <c r="E34" s="78" t="s">
        <v>64</v>
      </c>
      <c r="F34" s="77" t="s">
        <v>64</v>
      </c>
      <c r="G34" s="78" t="s">
        <v>64</v>
      </c>
      <c r="H34" s="75"/>
      <c r="I34" s="76"/>
      <c r="J34" s="77" t="s">
        <v>64</v>
      </c>
      <c r="K34" s="78" t="s">
        <v>64</v>
      </c>
      <c r="L34" s="79"/>
      <c r="M34" s="80"/>
    </row>
    <row r="35">
      <c r="A35" s="74">
        <v>2.0</v>
      </c>
      <c r="B35" s="75" t="s">
        <v>30</v>
      </c>
      <c r="C35" s="76" t="s">
        <v>16</v>
      </c>
      <c r="D35" s="77" t="s">
        <v>64</v>
      </c>
      <c r="E35" s="78" t="s">
        <v>64</v>
      </c>
      <c r="F35" s="77" t="s">
        <v>64</v>
      </c>
      <c r="G35" s="78" t="s">
        <v>64</v>
      </c>
      <c r="H35" s="75" t="s">
        <v>27</v>
      </c>
      <c r="I35" s="76" t="s">
        <v>8</v>
      </c>
      <c r="J35" s="77" t="s">
        <v>64</v>
      </c>
      <c r="K35" s="78" t="s">
        <v>64</v>
      </c>
      <c r="L35" s="81"/>
      <c r="M35" s="76"/>
    </row>
    <row r="36">
      <c r="A36" s="74">
        <v>3.0</v>
      </c>
      <c r="B36" s="75" t="s">
        <v>30</v>
      </c>
      <c r="C36" s="76" t="s">
        <v>11</v>
      </c>
      <c r="D36" s="77" t="s">
        <v>64</v>
      </c>
      <c r="E36" s="78" t="s">
        <v>64</v>
      </c>
      <c r="F36" s="77" t="s">
        <v>64</v>
      </c>
      <c r="G36" s="78" t="s">
        <v>64</v>
      </c>
      <c r="H36" s="77"/>
      <c r="I36" s="78"/>
      <c r="J36" s="77" t="s">
        <v>64</v>
      </c>
      <c r="K36" s="78" t="s">
        <v>64</v>
      </c>
      <c r="L36" s="81"/>
      <c r="M36" s="76"/>
    </row>
    <row r="37">
      <c r="A37" s="74">
        <v>4.0</v>
      </c>
      <c r="B37" s="75" t="s">
        <v>30</v>
      </c>
      <c r="C37" s="76" t="s">
        <v>10</v>
      </c>
      <c r="D37" s="77" t="s">
        <v>64</v>
      </c>
      <c r="E37" s="78" t="s">
        <v>64</v>
      </c>
      <c r="F37" s="77" t="s">
        <v>64</v>
      </c>
      <c r="G37" s="78" t="s">
        <v>64</v>
      </c>
      <c r="H37" s="75" t="s">
        <v>27</v>
      </c>
      <c r="I37" s="76" t="s">
        <v>5</v>
      </c>
      <c r="J37" s="77" t="s">
        <v>64</v>
      </c>
      <c r="K37" s="78" t="s">
        <v>64</v>
      </c>
      <c r="L37" s="81"/>
      <c r="M37" s="76"/>
    </row>
    <row r="38">
      <c r="A38" s="74">
        <v>5.0</v>
      </c>
      <c r="B38" s="75"/>
      <c r="C38" s="76"/>
      <c r="D38" s="77" t="s">
        <v>64</v>
      </c>
      <c r="E38" s="78" t="s">
        <v>64</v>
      </c>
      <c r="F38" s="77" t="s">
        <v>64</v>
      </c>
      <c r="G38" s="78" t="s">
        <v>64</v>
      </c>
      <c r="H38" s="75" t="s">
        <v>27</v>
      </c>
      <c r="I38" s="76" t="s">
        <v>8</v>
      </c>
      <c r="J38" s="77" t="s">
        <v>64</v>
      </c>
      <c r="K38" s="78" t="s">
        <v>64</v>
      </c>
      <c r="L38" s="81" t="s">
        <v>27</v>
      </c>
      <c r="M38" s="76" t="s">
        <v>7</v>
      </c>
    </row>
    <row r="39">
      <c r="A39" s="74">
        <v>6.0</v>
      </c>
      <c r="B39" s="75" t="s">
        <v>30</v>
      </c>
      <c r="C39" s="76" t="s">
        <v>10</v>
      </c>
      <c r="D39" s="77" t="s">
        <v>64</v>
      </c>
      <c r="E39" s="78" t="s">
        <v>64</v>
      </c>
      <c r="F39" s="77" t="s">
        <v>64</v>
      </c>
      <c r="G39" s="78" t="s">
        <v>64</v>
      </c>
      <c r="H39" s="75" t="s">
        <v>27</v>
      </c>
      <c r="I39" s="76" t="s">
        <v>8</v>
      </c>
      <c r="J39" s="77" t="s">
        <v>64</v>
      </c>
      <c r="K39" s="78" t="s">
        <v>64</v>
      </c>
      <c r="L39" s="81"/>
      <c r="M39" s="76"/>
    </row>
    <row r="40">
      <c r="A40" s="74">
        <v>7.0</v>
      </c>
      <c r="B40" s="75" t="s">
        <v>30</v>
      </c>
      <c r="C40" s="76" t="s">
        <v>5</v>
      </c>
      <c r="D40" s="77" t="s">
        <v>64</v>
      </c>
      <c r="E40" s="78" t="s">
        <v>64</v>
      </c>
      <c r="F40" s="77" t="s">
        <v>64</v>
      </c>
      <c r="G40" s="78" t="s">
        <v>64</v>
      </c>
      <c r="H40" s="75" t="s">
        <v>27</v>
      </c>
      <c r="I40" s="76" t="s">
        <v>2</v>
      </c>
      <c r="J40" s="77" t="s">
        <v>64</v>
      </c>
      <c r="K40" s="78" t="s">
        <v>64</v>
      </c>
      <c r="L40" s="81" t="s">
        <v>27</v>
      </c>
      <c r="M40" s="76" t="s">
        <v>7</v>
      </c>
    </row>
    <row r="41">
      <c r="A41" s="74">
        <v>8.0</v>
      </c>
      <c r="B41" s="75" t="s">
        <v>30</v>
      </c>
      <c r="C41" s="76" t="s">
        <v>10</v>
      </c>
      <c r="D41" s="77" t="s">
        <v>64</v>
      </c>
      <c r="E41" s="78" t="s">
        <v>64</v>
      </c>
      <c r="F41" s="77" t="s">
        <v>64</v>
      </c>
      <c r="G41" s="78" t="s">
        <v>64</v>
      </c>
      <c r="H41" s="75" t="s">
        <v>27</v>
      </c>
      <c r="I41" s="76" t="s">
        <v>15</v>
      </c>
      <c r="J41" s="77" t="s">
        <v>64</v>
      </c>
      <c r="K41" s="78" t="s">
        <v>64</v>
      </c>
      <c r="L41" s="81"/>
      <c r="M41" s="76"/>
    </row>
    <row r="42">
      <c r="A42" s="74">
        <v>9.0</v>
      </c>
      <c r="B42" s="75" t="s">
        <v>30</v>
      </c>
      <c r="C42" s="76" t="s">
        <v>9</v>
      </c>
      <c r="D42" s="77" t="s">
        <v>64</v>
      </c>
      <c r="E42" s="78" t="s">
        <v>64</v>
      </c>
      <c r="F42" s="77" t="s">
        <v>64</v>
      </c>
      <c r="G42" s="78" t="s">
        <v>64</v>
      </c>
      <c r="H42" s="75" t="s">
        <v>27</v>
      </c>
      <c r="I42" s="76" t="s">
        <v>8</v>
      </c>
      <c r="J42" s="77" t="s">
        <v>64</v>
      </c>
      <c r="K42" s="78" t="s">
        <v>64</v>
      </c>
      <c r="L42" s="75" t="s">
        <v>27</v>
      </c>
      <c r="M42" s="76" t="s">
        <v>9</v>
      </c>
    </row>
    <row r="43">
      <c r="A43" s="74">
        <v>10.0</v>
      </c>
      <c r="B43" s="75" t="s">
        <v>30</v>
      </c>
      <c r="C43" s="76" t="s">
        <v>8</v>
      </c>
      <c r="D43" s="77" t="s">
        <v>64</v>
      </c>
      <c r="E43" s="78" t="s">
        <v>64</v>
      </c>
      <c r="F43" s="77" t="s">
        <v>64</v>
      </c>
      <c r="G43" s="78" t="s">
        <v>64</v>
      </c>
      <c r="H43" s="77"/>
      <c r="I43" s="78"/>
      <c r="J43" s="77" t="s">
        <v>64</v>
      </c>
      <c r="K43" s="78" t="s">
        <v>64</v>
      </c>
      <c r="L43" s="81"/>
      <c r="M43" s="76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>
      <c r="A46" s="68" t="s">
        <v>65</v>
      </c>
      <c r="B46" s="69" t="s">
        <v>27</v>
      </c>
      <c r="C46" s="70"/>
      <c r="D46" s="69" t="s">
        <v>28</v>
      </c>
      <c r="E46" s="70"/>
      <c r="F46" s="69" t="s">
        <v>29</v>
      </c>
      <c r="G46" s="70"/>
      <c r="H46" s="69" t="s">
        <v>30</v>
      </c>
      <c r="I46" s="70"/>
      <c r="J46" s="69" t="s">
        <v>31</v>
      </c>
      <c r="K46" s="70"/>
      <c r="L46" s="69" t="s">
        <v>32</v>
      </c>
      <c r="M46" s="70"/>
    </row>
    <row r="47">
      <c r="A47" s="71"/>
      <c r="B47" s="72" t="s">
        <v>63</v>
      </c>
      <c r="C47" s="73" t="s">
        <v>0</v>
      </c>
      <c r="D47" s="72" t="s">
        <v>63</v>
      </c>
      <c r="E47" s="73" t="s">
        <v>0</v>
      </c>
      <c r="F47" s="72" t="s">
        <v>63</v>
      </c>
      <c r="G47" s="73" t="s">
        <v>0</v>
      </c>
      <c r="H47" s="72" t="s">
        <v>63</v>
      </c>
      <c r="I47" s="73" t="s">
        <v>0</v>
      </c>
      <c r="J47" s="72" t="s">
        <v>63</v>
      </c>
      <c r="K47" s="73" t="s">
        <v>0</v>
      </c>
      <c r="L47" s="72" t="s">
        <v>63</v>
      </c>
      <c r="M47" s="73" t="s">
        <v>0</v>
      </c>
    </row>
    <row r="48">
      <c r="A48" s="74">
        <v>1.0</v>
      </c>
      <c r="B48" s="77" t="s">
        <v>64</v>
      </c>
      <c r="C48" s="78" t="s">
        <v>64</v>
      </c>
      <c r="D48" s="77" t="s">
        <v>64</v>
      </c>
      <c r="E48" s="78" t="s">
        <v>64</v>
      </c>
      <c r="F48" s="77" t="s">
        <v>64</v>
      </c>
      <c r="G48" s="78" t="s">
        <v>64</v>
      </c>
      <c r="H48" s="77" t="s">
        <v>64</v>
      </c>
      <c r="I48" s="78" t="s">
        <v>64</v>
      </c>
      <c r="J48" s="75" t="s">
        <v>30</v>
      </c>
      <c r="K48" s="76" t="s">
        <v>11</v>
      </c>
      <c r="L48" s="77" t="s">
        <v>64</v>
      </c>
      <c r="M48" s="78" t="s">
        <v>64</v>
      </c>
    </row>
    <row r="49">
      <c r="A49" s="74">
        <v>2.0</v>
      </c>
      <c r="B49" s="77" t="s">
        <v>64</v>
      </c>
      <c r="C49" s="78" t="s">
        <v>64</v>
      </c>
      <c r="D49" s="77" t="s">
        <v>64</v>
      </c>
      <c r="E49" s="78" t="s">
        <v>64</v>
      </c>
      <c r="F49" s="77" t="s">
        <v>64</v>
      </c>
      <c r="G49" s="78" t="s">
        <v>64</v>
      </c>
      <c r="H49" s="77" t="s">
        <v>64</v>
      </c>
      <c r="I49" s="78" t="s">
        <v>64</v>
      </c>
      <c r="J49" s="77" t="s">
        <v>64</v>
      </c>
      <c r="K49" s="78" t="s">
        <v>64</v>
      </c>
      <c r="L49" s="77" t="s">
        <v>64</v>
      </c>
      <c r="M49" s="78" t="s">
        <v>64</v>
      </c>
    </row>
    <row r="50">
      <c r="A50" s="74">
        <v>3.0</v>
      </c>
      <c r="B50" s="77" t="s">
        <v>64</v>
      </c>
      <c r="C50" s="78" t="s">
        <v>64</v>
      </c>
      <c r="D50" s="77" t="s">
        <v>64</v>
      </c>
      <c r="E50" s="78" t="s">
        <v>64</v>
      </c>
      <c r="F50" s="77" t="s">
        <v>64</v>
      </c>
      <c r="G50" s="78" t="s">
        <v>64</v>
      </c>
      <c r="H50" s="77" t="s">
        <v>64</v>
      </c>
      <c r="I50" s="78" t="s">
        <v>64</v>
      </c>
      <c r="J50" s="77" t="s">
        <v>64</v>
      </c>
      <c r="K50" s="78" t="s">
        <v>64</v>
      </c>
      <c r="L50" s="77" t="s">
        <v>64</v>
      </c>
      <c r="M50" s="78" t="s">
        <v>64</v>
      </c>
    </row>
    <row r="51">
      <c r="A51" s="74">
        <v>4.0</v>
      </c>
      <c r="B51" s="77" t="s">
        <v>64</v>
      </c>
      <c r="C51" s="78" t="s">
        <v>64</v>
      </c>
      <c r="D51" s="77" t="s">
        <v>64</v>
      </c>
      <c r="E51" s="78" t="s">
        <v>64</v>
      </c>
      <c r="F51" s="77" t="s">
        <v>64</v>
      </c>
      <c r="G51" s="78" t="s">
        <v>64</v>
      </c>
      <c r="H51" s="77" t="s">
        <v>64</v>
      </c>
      <c r="I51" s="78" t="s">
        <v>64</v>
      </c>
      <c r="J51" s="77" t="s">
        <v>64</v>
      </c>
      <c r="K51" s="78" t="s">
        <v>64</v>
      </c>
      <c r="L51" s="77" t="s">
        <v>64</v>
      </c>
      <c r="M51" s="78" t="s">
        <v>64</v>
      </c>
    </row>
    <row r="52">
      <c r="A52" s="74">
        <v>5.0</v>
      </c>
      <c r="B52" s="77" t="s">
        <v>64</v>
      </c>
      <c r="C52" s="78" t="s">
        <v>64</v>
      </c>
      <c r="D52" s="77" t="s">
        <v>64</v>
      </c>
      <c r="E52" s="78" t="s">
        <v>64</v>
      </c>
      <c r="F52" s="77" t="s">
        <v>64</v>
      </c>
      <c r="G52" s="78" t="s">
        <v>64</v>
      </c>
      <c r="H52" s="77" t="s">
        <v>64</v>
      </c>
      <c r="I52" s="78" t="s">
        <v>64</v>
      </c>
      <c r="J52" s="77" t="s">
        <v>64</v>
      </c>
      <c r="K52" s="78" t="s">
        <v>64</v>
      </c>
      <c r="L52" s="77" t="s">
        <v>64</v>
      </c>
      <c r="M52" s="78" t="s">
        <v>64</v>
      </c>
    </row>
    <row r="53">
      <c r="A53" s="74">
        <v>6.0</v>
      </c>
      <c r="B53" s="77" t="s">
        <v>64</v>
      </c>
      <c r="C53" s="78" t="s">
        <v>64</v>
      </c>
      <c r="D53" s="77" t="s">
        <v>64</v>
      </c>
      <c r="E53" s="78" t="s">
        <v>64</v>
      </c>
      <c r="F53" s="77" t="s">
        <v>64</v>
      </c>
      <c r="G53" s="78" t="s">
        <v>64</v>
      </c>
      <c r="H53" s="77" t="s">
        <v>64</v>
      </c>
      <c r="I53" s="78" t="s">
        <v>64</v>
      </c>
      <c r="J53" s="77" t="s">
        <v>64</v>
      </c>
      <c r="K53" s="78" t="s">
        <v>64</v>
      </c>
      <c r="L53" s="77" t="s">
        <v>64</v>
      </c>
      <c r="M53" s="78" t="s">
        <v>64</v>
      </c>
    </row>
    <row r="54">
      <c r="A54" s="74">
        <v>7.0</v>
      </c>
      <c r="B54" s="77" t="s">
        <v>64</v>
      </c>
      <c r="C54" s="78" t="s">
        <v>64</v>
      </c>
      <c r="D54" s="77" t="s">
        <v>64</v>
      </c>
      <c r="E54" s="78" t="s">
        <v>64</v>
      </c>
      <c r="F54" s="77" t="s">
        <v>64</v>
      </c>
      <c r="G54" s="78" t="s">
        <v>64</v>
      </c>
      <c r="H54" s="77" t="s">
        <v>64</v>
      </c>
      <c r="I54" s="78" t="s">
        <v>64</v>
      </c>
      <c r="J54" s="77" t="s">
        <v>64</v>
      </c>
      <c r="K54" s="78" t="s">
        <v>64</v>
      </c>
      <c r="L54" s="77" t="s">
        <v>64</v>
      </c>
      <c r="M54" s="78" t="s">
        <v>64</v>
      </c>
    </row>
    <row r="55">
      <c r="A55" s="74">
        <v>8.0</v>
      </c>
      <c r="B55" s="77" t="s">
        <v>64</v>
      </c>
      <c r="C55" s="78" t="s">
        <v>64</v>
      </c>
      <c r="D55" s="77" t="s">
        <v>64</v>
      </c>
      <c r="E55" s="78" t="s">
        <v>64</v>
      </c>
      <c r="F55" s="77" t="s">
        <v>64</v>
      </c>
      <c r="G55" s="78" t="s">
        <v>64</v>
      </c>
      <c r="H55" s="77" t="s">
        <v>64</v>
      </c>
      <c r="I55" s="78" t="s">
        <v>64</v>
      </c>
      <c r="J55" s="77" t="s">
        <v>64</v>
      </c>
      <c r="K55" s="78" t="s">
        <v>64</v>
      </c>
      <c r="L55" s="77" t="s">
        <v>64</v>
      </c>
      <c r="M55" s="78" t="s">
        <v>64</v>
      </c>
    </row>
    <row r="56">
      <c r="A56" s="74">
        <v>9.0</v>
      </c>
      <c r="B56" s="77" t="s">
        <v>64</v>
      </c>
      <c r="C56" s="78" t="s">
        <v>64</v>
      </c>
      <c r="D56" s="77" t="s">
        <v>64</v>
      </c>
      <c r="E56" s="78" t="s">
        <v>64</v>
      </c>
      <c r="F56" s="77" t="s">
        <v>64</v>
      </c>
      <c r="G56" s="78" t="s">
        <v>64</v>
      </c>
      <c r="H56" s="77" t="s">
        <v>64</v>
      </c>
      <c r="I56" s="78" t="s">
        <v>64</v>
      </c>
      <c r="J56" s="77" t="s">
        <v>64</v>
      </c>
      <c r="K56" s="78" t="s">
        <v>64</v>
      </c>
      <c r="L56" s="77" t="s">
        <v>64</v>
      </c>
      <c r="M56" s="78" t="s">
        <v>64</v>
      </c>
    </row>
    <row r="57">
      <c r="A57" s="74">
        <v>10.0</v>
      </c>
      <c r="B57" s="77" t="s">
        <v>64</v>
      </c>
      <c r="C57" s="78" t="s">
        <v>64</v>
      </c>
      <c r="D57" s="77" t="s">
        <v>64</v>
      </c>
      <c r="E57" s="78" t="s">
        <v>64</v>
      </c>
      <c r="F57" s="77" t="s">
        <v>64</v>
      </c>
      <c r="G57" s="78" t="s">
        <v>64</v>
      </c>
      <c r="H57" s="77" t="s">
        <v>64</v>
      </c>
      <c r="I57" s="78" t="s">
        <v>64</v>
      </c>
      <c r="J57" s="77" t="s">
        <v>64</v>
      </c>
      <c r="K57" s="78" t="s">
        <v>64</v>
      </c>
      <c r="L57" s="77" t="s">
        <v>64</v>
      </c>
      <c r="M57" s="78" t="s">
        <v>64</v>
      </c>
    </row>
    <row r="59">
      <c r="A59" s="67" t="s">
        <v>67</v>
      </c>
    </row>
    <row r="60">
      <c r="A60" s="68" t="s">
        <v>62</v>
      </c>
      <c r="B60" s="69" t="s">
        <v>27</v>
      </c>
      <c r="C60" s="70"/>
      <c r="D60" s="69" t="s">
        <v>28</v>
      </c>
      <c r="E60" s="70"/>
      <c r="F60" s="69" t="s">
        <v>29</v>
      </c>
      <c r="G60" s="70"/>
      <c r="H60" s="69" t="s">
        <v>30</v>
      </c>
      <c r="I60" s="70"/>
      <c r="J60" s="69" t="s">
        <v>31</v>
      </c>
      <c r="K60" s="70"/>
      <c r="L60" s="69" t="s">
        <v>32</v>
      </c>
      <c r="M60" s="70"/>
    </row>
    <row r="61">
      <c r="A61" s="71"/>
      <c r="B61" s="72" t="s">
        <v>63</v>
      </c>
      <c r="C61" s="73" t="s">
        <v>0</v>
      </c>
      <c r="D61" s="72" t="s">
        <v>63</v>
      </c>
      <c r="E61" s="73" t="s">
        <v>0</v>
      </c>
      <c r="F61" s="72" t="s">
        <v>63</v>
      </c>
      <c r="G61" s="73" t="s">
        <v>0</v>
      </c>
      <c r="H61" s="72" t="s">
        <v>63</v>
      </c>
      <c r="I61" s="73" t="s">
        <v>0</v>
      </c>
      <c r="J61" s="72" t="s">
        <v>63</v>
      </c>
      <c r="K61" s="73" t="s">
        <v>0</v>
      </c>
      <c r="L61" s="72" t="s">
        <v>63</v>
      </c>
      <c r="M61" s="73" t="s">
        <v>0</v>
      </c>
    </row>
    <row r="62">
      <c r="A62" s="74">
        <v>1.0</v>
      </c>
      <c r="B62" s="75" t="s">
        <v>30</v>
      </c>
      <c r="C62" s="76" t="s">
        <v>11</v>
      </c>
      <c r="D62" s="77" t="s">
        <v>64</v>
      </c>
      <c r="E62" s="78" t="s">
        <v>64</v>
      </c>
      <c r="F62" s="77" t="s">
        <v>64</v>
      </c>
      <c r="G62" s="78" t="s">
        <v>64</v>
      </c>
      <c r="H62" s="75" t="s">
        <v>27</v>
      </c>
      <c r="I62" s="76" t="s">
        <v>5</v>
      </c>
      <c r="J62" s="77" t="s">
        <v>64</v>
      </c>
      <c r="K62" s="78" t="s">
        <v>64</v>
      </c>
      <c r="L62" s="79"/>
      <c r="M62" s="80"/>
    </row>
    <row r="63">
      <c r="A63" s="74">
        <v>2.0</v>
      </c>
      <c r="B63" s="77"/>
      <c r="C63" s="78"/>
      <c r="D63" s="77" t="s">
        <v>64</v>
      </c>
      <c r="E63" s="78" t="s">
        <v>64</v>
      </c>
      <c r="F63" s="77" t="s">
        <v>64</v>
      </c>
      <c r="G63" s="78" t="s">
        <v>64</v>
      </c>
      <c r="H63" s="75" t="s">
        <v>27</v>
      </c>
      <c r="I63" s="76" t="s">
        <v>2</v>
      </c>
      <c r="J63" s="77" t="s">
        <v>64</v>
      </c>
      <c r="K63" s="78" t="s">
        <v>64</v>
      </c>
      <c r="L63" s="75" t="s">
        <v>27</v>
      </c>
      <c r="M63" s="76" t="s">
        <v>7</v>
      </c>
    </row>
    <row r="64">
      <c r="A64" s="74">
        <v>3.0</v>
      </c>
      <c r="B64" s="77"/>
      <c r="C64" s="78"/>
      <c r="D64" s="77" t="s">
        <v>64</v>
      </c>
      <c r="E64" s="78" t="s">
        <v>64</v>
      </c>
      <c r="F64" s="77" t="s">
        <v>64</v>
      </c>
      <c r="G64" s="78" t="s">
        <v>64</v>
      </c>
      <c r="H64" s="75" t="s">
        <v>27</v>
      </c>
      <c r="I64" s="76" t="s">
        <v>2</v>
      </c>
      <c r="J64" s="77" t="s">
        <v>64</v>
      </c>
      <c r="K64" s="78" t="s">
        <v>64</v>
      </c>
      <c r="L64" s="75" t="s">
        <v>27</v>
      </c>
      <c r="M64" s="76" t="s">
        <v>5</v>
      </c>
    </row>
    <row r="65">
      <c r="A65" s="74">
        <v>4.0</v>
      </c>
      <c r="B65" s="75"/>
      <c r="C65" s="76"/>
      <c r="D65" s="77" t="s">
        <v>64</v>
      </c>
      <c r="E65" s="78" t="s">
        <v>64</v>
      </c>
      <c r="F65" s="77" t="s">
        <v>64</v>
      </c>
      <c r="G65" s="78" t="s">
        <v>64</v>
      </c>
      <c r="H65" s="75" t="s">
        <v>27</v>
      </c>
      <c r="I65" s="76" t="s">
        <v>15</v>
      </c>
      <c r="J65" s="77" t="s">
        <v>64</v>
      </c>
      <c r="K65" s="78" t="s">
        <v>64</v>
      </c>
      <c r="L65" s="81"/>
      <c r="M65" s="76"/>
    </row>
    <row r="66">
      <c r="A66" s="74">
        <v>5.0</v>
      </c>
      <c r="B66" s="75" t="s">
        <v>30</v>
      </c>
      <c r="C66" s="76" t="s">
        <v>4</v>
      </c>
      <c r="D66" s="77" t="s">
        <v>64</v>
      </c>
      <c r="E66" s="78" t="s">
        <v>64</v>
      </c>
      <c r="F66" s="77" t="s">
        <v>64</v>
      </c>
      <c r="G66" s="78" t="s">
        <v>64</v>
      </c>
      <c r="H66" s="75"/>
      <c r="I66" s="76"/>
      <c r="J66" s="77" t="s">
        <v>64</v>
      </c>
      <c r="K66" s="78" t="s">
        <v>64</v>
      </c>
      <c r="L66" s="81" t="s">
        <v>27</v>
      </c>
      <c r="M66" s="76" t="s">
        <v>18</v>
      </c>
    </row>
    <row r="67">
      <c r="A67" s="74">
        <v>6.0</v>
      </c>
      <c r="B67" s="75" t="s">
        <v>30</v>
      </c>
      <c r="C67" s="76" t="s">
        <v>11</v>
      </c>
      <c r="D67" s="77" t="s">
        <v>64</v>
      </c>
      <c r="E67" s="78" t="s">
        <v>64</v>
      </c>
      <c r="F67" s="77" t="s">
        <v>64</v>
      </c>
      <c r="G67" s="78" t="s">
        <v>64</v>
      </c>
      <c r="H67" s="75" t="s">
        <v>27</v>
      </c>
      <c r="I67" s="76" t="s">
        <v>8</v>
      </c>
      <c r="J67" s="77" t="s">
        <v>64</v>
      </c>
      <c r="K67" s="78" t="s">
        <v>64</v>
      </c>
      <c r="L67" s="77"/>
      <c r="M67" s="78"/>
    </row>
    <row r="68">
      <c r="A68" s="74">
        <v>7.0</v>
      </c>
      <c r="B68" s="75" t="s">
        <v>30</v>
      </c>
      <c r="C68" s="76" t="s">
        <v>4</v>
      </c>
      <c r="D68" s="77" t="s">
        <v>64</v>
      </c>
      <c r="E68" s="78" t="s">
        <v>64</v>
      </c>
      <c r="F68" s="77" t="s">
        <v>64</v>
      </c>
      <c r="G68" s="78" t="s">
        <v>64</v>
      </c>
      <c r="H68" s="75"/>
      <c r="I68" s="76"/>
      <c r="J68" s="77" t="s">
        <v>64</v>
      </c>
      <c r="K68" s="78" t="s">
        <v>64</v>
      </c>
      <c r="L68" s="81" t="s">
        <v>27</v>
      </c>
      <c r="M68" s="76" t="s">
        <v>11</v>
      </c>
    </row>
    <row r="69">
      <c r="A69" s="74">
        <v>8.0</v>
      </c>
      <c r="B69" s="75" t="s">
        <v>30</v>
      </c>
      <c r="C69" s="76" t="s">
        <v>11</v>
      </c>
      <c r="D69" s="77" t="s">
        <v>64</v>
      </c>
      <c r="E69" s="78" t="s">
        <v>64</v>
      </c>
      <c r="F69" s="77" t="s">
        <v>64</v>
      </c>
      <c r="G69" s="78" t="s">
        <v>64</v>
      </c>
      <c r="H69" s="75"/>
      <c r="I69" s="76"/>
      <c r="J69" s="77" t="s">
        <v>64</v>
      </c>
      <c r="K69" s="78" t="s">
        <v>64</v>
      </c>
      <c r="L69" s="81"/>
      <c r="M69" s="76"/>
    </row>
    <row r="70">
      <c r="A70" s="74">
        <v>9.0</v>
      </c>
      <c r="B70" s="75" t="s">
        <v>30</v>
      </c>
      <c r="C70" s="76" t="s">
        <v>11</v>
      </c>
      <c r="D70" s="77" t="s">
        <v>64</v>
      </c>
      <c r="E70" s="78" t="s">
        <v>64</v>
      </c>
      <c r="F70" s="77" t="s">
        <v>64</v>
      </c>
      <c r="G70" s="78" t="s">
        <v>64</v>
      </c>
      <c r="H70" s="77"/>
      <c r="I70" s="78"/>
      <c r="J70" s="77" t="s">
        <v>64</v>
      </c>
      <c r="K70" s="78" t="s">
        <v>64</v>
      </c>
      <c r="L70" s="81" t="s">
        <v>27</v>
      </c>
      <c r="M70" s="76" t="s">
        <v>9</v>
      </c>
    </row>
    <row r="71">
      <c r="A71" s="74">
        <v>10.0</v>
      </c>
      <c r="B71" s="75" t="s">
        <v>68</v>
      </c>
      <c r="C71" s="76" t="s">
        <v>11</v>
      </c>
      <c r="D71" s="77" t="s">
        <v>64</v>
      </c>
      <c r="E71" s="78" t="s">
        <v>64</v>
      </c>
      <c r="F71" s="77" t="s">
        <v>64</v>
      </c>
      <c r="G71" s="78" t="s">
        <v>64</v>
      </c>
      <c r="H71" s="75" t="s">
        <v>27</v>
      </c>
      <c r="I71" s="53" t="s">
        <v>8</v>
      </c>
      <c r="J71" s="77" t="s">
        <v>64</v>
      </c>
      <c r="K71" s="78" t="s">
        <v>64</v>
      </c>
      <c r="L71" s="77"/>
      <c r="M71" s="78"/>
    </row>
    <row r="72">
      <c r="A72" s="7"/>
      <c r="B72" s="7"/>
      <c r="C72" s="7"/>
      <c r="D72" s="7"/>
      <c r="E72" s="7"/>
      <c r="F72" s="7"/>
      <c r="G72" s="7"/>
      <c r="H72" s="8"/>
      <c r="I72" s="8"/>
      <c r="J72" s="7"/>
      <c r="K72" s="7"/>
      <c r="L72" s="7"/>
      <c r="M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>
      <c r="A74" s="68" t="s">
        <v>65</v>
      </c>
      <c r="B74" s="69" t="s">
        <v>27</v>
      </c>
      <c r="C74" s="70"/>
      <c r="D74" s="69" t="s">
        <v>28</v>
      </c>
      <c r="E74" s="70"/>
      <c r="F74" s="69" t="s">
        <v>29</v>
      </c>
      <c r="G74" s="70"/>
      <c r="H74" s="69" t="s">
        <v>30</v>
      </c>
      <c r="I74" s="70"/>
      <c r="J74" s="69" t="s">
        <v>31</v>
      </c>
      <c r="K74" s="70"/>
      <c r="L74" s="69" t="s">
        <v>32</v>
      </c>
      <c r="M74" s="70"/>
    </row>
    <row r="75">
      <c r="A75" s="71"/>
      <c r="B75" s="72" t="s">
        <v>63</v>
      </c>
      <c r="C75" s="73" t="s">
        <v>0</v>
      </c>
      <c r="D75" s="72" t="s">
        <v>63</v>
      </c>
      <c r="E75" s="73" t="s">
        <v>0</v>
      </c>
      <c r="F75" s="72" t="s">
        <v>63</v>
      </c>
      <c r="G75" s="73" t="s">
        <v>0</v>
      </c>
      <c r="H75" s="72" t="s">
        <v>63</v>
      </c>
      <c r="I75" s="73" t="s">
        <v>0</v>
      </c>
      <c r="J75" s="72" t="s">
        <v>63</v>
      </c>
      <c r="K75" s="73" t="s">
        <v>0</v>
      </c>
      <c r="L75" s="72" t="s">
        <v>63</v>
      </c>
      <c r="M75" s="73" t="s">
        <v>0</v>
      </c>
    </row>
    <row r="76">
      <c r="A76" s="74">
        <v>1.0</v>
      </c>
      <c r="B76" s="77" t="s">
        <v>64</v>
      </c>
      <c r="C76" s="78" t="s">
        <v>64</v>
      </c>
      <c r="D76" s="77" t="s">
        <v>64</v>
      </c>
      <c r="E76" s="78" t="s">
        <v>64</v>
      </c>
      <c r="F76" s="77" t="s">
        <v>64</v>
      </c>
      <c r="G76" s="78" t="s">
        <v>64</v>
      </c>
      <c r="H76" s="77" t="s">
        <v>64</v>
      </c>
      <c r="I76" s="78" t="s">
        <v>64</v>
      </c>
      <c r="J76" s="75" t="s">
        <v>30</v>
      </c>
      <c r="K76" s="76" t="s">
        <v>11</v>
      </c>
      <c r="L76" s="77" t="s">
        <v>64</v>
      </c>
      <c r="M76" s="78" t="s">
        <v>64</v>
      </c>
    </row>
    <row r="77">
      <c r="A77" s="74">
        <v>2.0</v>
      </c>
      <c r="B77" s="77" t="s">
        <v>64</v>
      </c>
      <c r="C77" s="78" t="s">
        <v>64</v>
      </c>
      <c r="D77" s="77" t="s">
        <v>64</v>
      </c>
      <c r="E77" s="78" t="s">
        <v>64</v>
      </c>
      <c r="F77" s="77" t="s">
        <v>64</v>
      </c>
      <c r="G77" s="78" t="s">
        <v>64</v>
      </c>
      <c r="H77" s="77" t="s">
        <v>64</v>
      </c>
      <c r="I77" s="78" t="s">
        <v>64</v>
      </c>
      <c r="J77" s="77" t="s">
        <v>64</v>
      </c>
      <c r="K77" s="78" t="s">
        <v>64</v>
      </c>
      <c r="L77" s="77" t="s">
        <v>64</v>
      </c>
      <c r="M77" s="78" t="s">
        <v>64</v>
      </c>
    </row>
    <row r="78">
      <c r="A78" s="74">
        <v>3.0</v>
      </c>
      <c r="B78" s="77" t="s">
        <v>64</v>
      </c>
      <c r="C78" s="78" t="s">
        <v>64</v>
      </c>
      <c r="D78" s="77" t="s">
        <v>64</v>
      </c>
      <c r="E78" s="78" t="s">
        <v>64</v>
      </c>
      <c r="F78" s="77" t="s">
        <v>64</v>
      </c>
      <c r="G78" s="78" t="s">
        <v>64</v>
      </c>
      <c r="H78" s="77" t="s">
        <v>64</v>
      </c>
      <c r="I78" s="78" t="s">
        <v>64</v>
      </c>
      <c r="J78" s="77" t="s">
        <v>64</v>
      </c>
      <c r="K78" s="78" t="s">
        <v>64</v>
      </c>
      <c r="L78" s="77" t="s">
        <v>64</v>
      </c>
      <c r="M78" s="78" t="s">
        <v>64</v>
      </c>
    </row>
    <row r="79">
      <c r="A79" s="74">
        <v>4.0</v>
      </c>
      <c r="B79" s="77" t="s">
        <v>64</v>
      </c>
      <c r="C79" s="78" t="s">
        <v>64</v>
      </c>
      <c r="D79" s="77" t="s">
        <v>64</v>
      </c>
      <c r="E79" s="78" t="s">
        <v>64</v>
      </c>
      <c r="F79" s="77" t="s">
        <v>64</v>
      </c>
      <c r="G79" s="78" t="s">
        <v>64</v>
      </c>
      <c r="H79" s="77" t="s">
        <v>64</v>
      </c>
      <c r="I79" s="78" t="s">
        <v>64</v>
      </c>
      <c r="J79" s="77" t="s">
        <v>64</v>
      </c>
      <c r="K79" s="78" t="s">
        <v>64</v>
      </c>
      <c r="L79" s="77" t="s">
        <v>64</v>
      </c>
      <c r="M79" s="78" t="s">
        <v>64</v>
      </c>
    </row>
    <row r="80">
      <c r="A80" s="74">
        <v>5.0</v>
      </c>
      <c r="B80" s="77" t="s">
        <v>64</v>
      </c>
      <c r="C80" s="78" t="s">
        <v>64</v>
      </c>
      <c r="D80" s="77" t="s">
        <v>64</v>
      </c>
      <c r="E80" s="78" t="s">
        <v>64</v>
      </c>
      <c r="F80" s="77" t="s">
        <v>64</v>
      </c>
      <c r="G80" s="78" t="s">
        <v>64</v>
      </c>
      <c r="H80" s="77" t="s">
        <v>64</v>
      </c>
      <c r="I80" s="78" t="s">
        <v>64</v>
      </c>
      <c r="J80" s="77" t="s">
        <v>64</v>
      </c>
      <c r="K80" s="78" t="s">
        <v>64</v>
      </c>
      <c r="L80" s="77" t="s">
        <v>64</v>
      </c>
      <c r="M80" s="78" t="s">
        <v>64</v>
      </c>
    </row>
    <row r="81">
      <c r="A81" s="74">
        <v>6.0</v>
      </c>
      <c r="B81" s="77" t="s">
        <v>64</v>
      </c>
      <c r="C81" s="78" t="s">
        <v>64</v>
      </c>
      <c r="D81" s="77" t="s">
        <v>64</v>
      </c>
      <c r="E81" s="78" t="s">
        <v>64</v>
      </c>
      <c r="F81" s="77" t="s">
        <v>64</v>
      </c>
      <c r="G81" s="78" t="s">
        <v>64</v>
      </c>
      <c r="H81" s="77" t="s">
        <v>64</v>
      </c>
      <c r="I81" s="78" t="s">
        <v>64</v>
      </c>
      <c r="J81" s="77" t="s">
        <v>64</v>
      </c>
      <c r="K81" s="78" t="s">
        <v>64</v>
      </c>
      <c r="L81" s="77" t="s">
        <v>64</v>
      </c>
      <c r="M81" s="78" t="s">
        <v>64</v>
      </c>
    </row>
    <row r="82">
      <c r="A82" s="74">
        <v>7.0</v>
      </c>
      <c r="B82" s="77" t="s">
        <v>64</v>
      </c>
      <c r="C82" s="78" t="s">
        <v>64</v>
      </c>
      <c r="D82" s="77" t="s">
        <v>64</v>
      </c>
      <c r="E82" s="78" t="s">
        <v>64</v>
      </c>
      <c r="F82" s="77" t="s">
        <v>64</v>
      </c>
      <c r="G82" s="78" t="s">
        <v>64</v>
      </c>
      <c r="H82" s="77" t="s">
        <v>64</v>
      </c>
      <c r="I82" s="78" t="s">
        <v>64</v>
      </c>
      <c r="J82" s="77" t="s">
        <v>64</v>
      </c>
      <c r="K82" s="78" t="s">
        <v>64</v>
      </c>
      <c r="L82" s="77" t="s">
        <v>64</v>
      </c>
      <c r="M82" s="78" t="s">
        <v>64</v>
      </c>
    </row>
    <row r="83">
      <c r="A83" s="74">
        <v>8.0</v>
      </c>
      <c r="B83" s="77" t="s">
        <v>64</v>
      </c>
      <c r="C83" s="78" t="s">
        <v>64</v>
      </c>
      <c r="D83" s="77" t="s">
        <v>64</v>
      </c>
      <c r="E83" s="78" t="s">
        <v>64</v>
      </c>
      <c r="F83" s="77" t="s">
        <v>64</v>
      </c>
      <c r="G83" s="78" t="s">
        <v>64</v>
      </c>
      <c r="H83" s="77" t="s">
        <v>64</v>
      </c>
      <c r="I83" s="78" t="s">
        <v>64</v>
      </c>
      <c r="J83" s="77" t="s">
        <v>64</v>
      </c>
      <c r="K83" s="78" t="s">
        <v>64</v>
      </c>
      <c r="L83" s="77" t="s">
        <v>64</v>
      </c>
      <c r="M83" s="78" t="s">
        <v>64</v>
      </c>
    </row>
    <row r="84">
      <c r="A84" s="74">
        <v>9.0</v>
      </c>
      <c r="B84" s="77" t="s">
        <v>64</v>
      </c>
      <c r="C84" s="78" t="s">
        <v>64</v>
      </c>
      <c r="D84" s="77" t="s">
        <v>64</v>
      </c>
      <c r="E84" s="78" t="s">
        <v>64</v>
      </c>
      <c r="F84" s="77" t="s">
        <v>64</v>
      </c>
      <c r="G84" s="78" t="s">
        <v>64</v>
      </c>
      <c r="H84" s="77" t="s">
        <v>64</v>
      </c>
      <c r="I84" s="78" t="s">
        <v>64</v>
      </c>
      <c r="J84" s="77" t="s">
        <v>64</v>
      </c>
      <c r="K84" s="78" t="s">
        <v>64</v>
      </c>
      <c r="L84" s="77" t="s">
        <v>64</v>
      </c>
      <c r="M84" s="78" t="s">
        <v>64</v>
      </c>
    </row>
    <row r="85">
      <c r="A85" s="74">
        <v>10.0</v>
      </c>
      <c r="B85" s="77" t="s">
        <v>64</v>
      </c>
      <c r="C85" s="78" t="s">
        <v>64</v>
      </c>
      <c r="D85" s="77" t="s">
        <v>64</v>
      </c>
      <c r="E85" s="78" t="s">
        <v>64</v>
      </c>
      <c r="F85" s="77" t="s">
        <v>64</v>
      </c>
      <c r="G85" s="78" t="s">
        <v>64</v>
      </c>
      <c r="H85" s="77" t="s">
        <v>64</v>
      </c>
      <c r="I85" s="78" t="s">
        <v>64</v>
      </c>
      <c r="J85" s="77" t="s">
        <v>64</v>
      </c>
      <c r="K85" s="78" t="s">
        <v>64</v>
      </c>
      <c r="L85" s="77" t="s">
        <v>64</v>
      </c>
      <c r="M85" s="78" t="s">
        <v>64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5" t="s">
        <v>69</v>
      </c>
    </row>
    <row r="2">
      <c r="A2" s="2" t="s">
        <v>70</v>
      </c>
    </row>
    <row r="3">
      <c r="A3" s="84" t="s">
        <v>62</v>
      </c>
      <c r="B3" s="85" t="s">
        <v>27</v>
      </c>
      <c r="C3" s="86"/>
      <c r="D3" s="86"/>
      <c r="E3" s="87"/>
      <c r="F3" s="15" t="s">
        <v>28</v>
      </c>
      <c r="G3" s="15"/>
      <c r="H3" s="15"/>
      <c r="I3" s="14"/>
      <c r="J3" s="88" t="s">
        <v>29</v>
      </c>
      <c r="K3" s="15"/>
      <c r="L3" s="15"/>
      <c r="M3" s="87"/>
      <c r="N3" s="86" t="s">
        <v>30</v>
      </c>
      <c r="O3" s="86"/>
      <c r="P3" s="86"/>
      <c r="Q3" s="14"/>
      <c r="R3" s="88" t="s">
        <v>31</v>
      </c>
      <c r="S3" s="15"/>
      <c r="T3" s="15"/>
      <c r="U3" s="87"/>
      <c r="V3" s="15" t="s">
        <v>32</v>
      </c>
      <c r="W3" s="15"/>
      <c r="X3" s="15"/>
      <c r="Y3" s="87"/>
    </row>
    <row r="4">
      <c r="A4" s="89" t="s">
        <v>71</v>
      </c>
      <c r="B4" s="21">
        <v>1.0</v>
      </c>
      <c r="C4" s="22">
        <v>2.0</v>
      </c>
      <c r="D4" s="22">
        <v>3.0</v>
      </c>
      <c r="E4" s="23" t="s">
        <v>72</v>
      </c>
      <c r="F4" s="22">
        <v>1.0</v>
      </c>
      <c r="G4" s="22">
        <v>2.0</v>
      </c>
      <c r="H4" s="22">
        <v>3.0</v>
      </c>
      <c r="I4" s="23" t="s">
        <v>72</v>
      </c>
      <c r="J4" s="21">
        <v>1.0</v>
      </c>
      <c r="K4" s="22">
        <v>2.0</v>
      </c>
      <c r="L4" s="22">
        <v>3.0</v>
      </c>
      <c r="M4" s="23" t="s">
        <v>72</v>
      </c>
      <c r="N4" s="22">
        <v>1.0</v>
      </c>
      <c r="O4" s="22">
        <v>2.0</v>
      </c>
      <c r="P4" s="22">
        <v>3.0</v>
      </c>
      <c r="Q4" s="23" t="s">
        <v>72</v>
      </c>
      <c r="R4" s="21">
        <v>1.0</v>
      </c>
      <c r="S4" s="22">
        <v>2.0</v>
      </c>
      <c r="T4" s="22">
        <v>3.0</v>
      </c>
      <c r="U4" s="23" t="s">
        <v>72</v>
      </c>
      <c r="V4" s="22">
        <v>1.0</v>
      </c>
      <c r="W4" s="22">
        <v>2.0</v>
      </c>
      <c r="X4" s="22">
        <v>3.0</v>
      </c>
      <c r="Y4" s="23" t="s">
        <v>72</v>
      </c>
    </row>
    <row r="5">
      <c r="A5" s="90" t="s">
        <v>73</v>
      </c>
      <c r="B5" s="91">
        <v>4.0</v>
      </c>
      <c r="C5" s="91">
        <v>5.0</v>
      </c>
      <c r="D5" s="91">
        <v>7.0</v>
      </c>
      <c r="E5" s="92">
        <f>AVERAGE(B5:D5)</f>
        <v>5.333333333</v>
      </c>
      <c r="F5" s="2">
        <v>0.0</v>
      </c>
      <c r="G5" s="2">
        <v>3.0</v>
      </c>
      <c r="H5" s="2">
        <v>4.0</v>
      </c>
      <c r="I5" s="93">
        <f t="shared" ref="I5:I7" si="1">AVERAGE(F5:H5)</f>
        <v>2.333333333</v>
      </c>
      <c r="J5" s="94">
        <v>0.0</v>
      </c>
      <c r="K5" s="2">
        <v>1.0</v>
      </c>
      <c r="L5" s="2">
        <v>1.0</v>
      </c>
      <c r="M5" s="95">
        <f t="shared" ref="M5:M6" si="2">AVERAGE(J5:L5)</f>
        <v>0.6666666667</v>
      </c>
      <c r="N5" s="2">
        <v>70.0</v>
      </c>
      <c r="O5" s="2">
        <v>64.0</v>
      </c>
      <c r="P5" s="2">
        <v>58.0</v>
      </c>
      <c r="Q5" s="95">
        <f t="shared" ref="Q5:Q8" si="3">AVERAGE(N5:P5)</f>
        <v>64</v>
      </c>
      <c r="R5" s="2">
        <v>2.0</v>
      </c>
      <c r="S5" s="2">
        <v>2.0</v>
      </c>
      <c r="T5" s="2">
        <v>2.0</v>
      </c>
      <c r="U5" s="95">
        <f t="shared" ref="U5:U6" si="4">AVERAGE(R5:T5)</f>
        <v>2</v>
      </c>
      <c r="V5" s="2">
        <v>41.0</v>
      </c>
      <c r="W5" s="2">
        <v>40.0</v>
      </c>
      <c r="X5" s="2">
        <v>45.0</v>
      </c>
      <c r="Y5" s="95">
        <f t="shared" ref="Y5:Y8" si="5">AVERAGE(V5:X5)</f>
        <v>42</v>
      </c>
    </row>
    <row r="6">
      <c r="A6" s="90" t="s">
        <v>27</v>
      </c>
      <c r="B6" s="96"/>
      <c r="C6" s="97"/>
      <c r="D6" s="97"/>
      <c r="E6" s="98"/>
      <c r="F6" s="2">
        <v>17.0</v>
      </c>
      <c r="G6" s="2">
        <v>37.0</v>
      </c>
      <c r="H6" s="2">
        <v>29.0</v>
      </c>
      <c r="I6" s="93">
        <f t="shared" si="1"/>
        <v>27.66666667</v>
      </c>
      <c r="J6" s="94">
        <v>40.0</v>
      </c>
      <c r="K6" s="2">
        <v>35.0</v>
      </c>
      <c r="L6" s="2">
        <v>27.0</v>
      </c>
      <c r="M6" s="95">
        <f t="shared" si="2"/>
        <v>34</v>
      </c>
      <c r="N6" s="2">
        <v>95.0</v>
      </c>
      <c r="O6" s="2">
        <v>107.0</v>
      </c>
      <c r="P6" s="2">
        <v>99.0</v>
      </c>
      <c r="Q6" s="95">
        <f t="shared" si="3"/>
        <v>100.3333333</v>
      </c>
      <c r="R6" s="2">
        <v>39.0</v>
      </c>
      <c r="S6" s="2">
        <v>36.0</v>
      </c>
      <c r="T6" s="2">
        <v>32.0</v>
      </c>
      <c r="U6" s="95">
        <f t="shared" si="4"/>
        <v>35.66666667</v>
      </c>
      <c r="V6" s="2">
        <v>71.0</v>
      </c>
      <c r="W6" s="2">
        <v>61.0</v>
      </c>
      <c r="X6" s="2">
        <v>68.0</v>
      </c>
      <c r="Y6" s="95">
        <f t="shared" si="5"/>
        <v>66.66666667</v>
      </c>
    </row>
    <row r="7">
      <c r="A7" s="90" t="s">
        <v>68</v>
      </c>
      <c r="B7" s="96">
        <v>7.0</v>
      </c>
      <c r="C7" s="97">
        <v>6.0</v>
      </c>
      <c r="D7" s="97">
        <v>2.0</v>
      </c>
      <c r="E7" s="98">
        <f t="shared" ref="E7:E9" si="6">AVERAGE(B7:D7)</f>
        <v>5</v>
      </c>
      <c r="F7" s="2">
        <v>12.0</v>
      </c>
      <c r="G7" s="2">
        <v>12.0</v>
      </c>
      <c r="H7" s="2">
        <v>10.0</v>
      </c>
      <c r="I7" s="93">
        <f t="shared" si="1"/>
        <v>11.33333333</v>
      </c>
      <c r="J7" s="94"/>
      <c r="M7" s="95"/>
      <c r="N7" s="2">
        <v>9.0</v>
      </c>
      <c r="O7" s="2">
        <v>8.0</v>
      </c>
      <c r="P7" s="2">
        <v>9.0</v>
      </c>
      <c r="Q7" s="93">
        <f t="shared" si="3"/>
        <v>8.666666667</v>
      </c>
      <c r="R7" s="94"/>
      <c r="U7" s="95"/>
      <c r="V7" s="2">
        <v>1.0</v>
      </c>
      <c r="W7" s="2">
        <v>1.0</v>
      </c>
      <c r="X7" s="2">
        <v>2.0</v>
      </c>
      <c r="Y7" s="95">
        <f t="shared" si="5"/>
        <v>1.333333333</v>
      </c>
    </row>
    <row r="8">
      <c r="A8" s="90" t="s">
        <v>30</v>
      </c>
      <c r="B8" s="96">
        <v>75.0</v>
      </c>
      <c r="C8" s="97">
        <v>84.0</v>
      </c>
      <c r="D8" s="97">
        <v>80.0</v>
      </c>
      <c r="E8" s="98">
        <f t="shared" si="6"/>
        <v>79.66666667</v>
      </c>
      <c r="I8" s="93"/>
      <c r="J8" s="94">
        <v>3.0</v>
      </c>
      <c r="K8" s="2">
        <v>11.0</v>
      </c>
      <c r="L8" s="2">
        <v>5.0</v>
      </c>
      <c r="M8" s="95">
        <f>AVERAGE(J8:L8)</f>
        <v>6.333333333</v>
      </c>
      <c r="N8" s="2">
        <v>1.0</v>
      </c>
      <c r="O8" s="2">
        <v>1.0</v>
      </c>
      <c r="P8" s="2">
        <v>1.0</v>
      </c>
      <c r="Q8" s="93">
        <f t="shared" si="3"/>
        <v>1</v>
      </c>
      <c r="R8" s="99"/>
      <c r="U8" s="100"/>
      <c r="V8" s="2">
        <v>6.0</v>
      </c>
      <c r="W8" s="2">
        <v>5.0</v>
      </c>
      <c r="X8" s="2">
        <v>6.0</v>
      </c>
      <c r="Y8" s="95">
        <f t="shared" si="5"/>
        <v>5.666666667</v>
      </c>
    </row>
    <row r="9">
      <c r="A9" s="101" t="s">
        <v>74</v>
      </c>
      <c r="B9" s="102">
        <v>0.0</v>
      </c>
      <c r="C9" s="103">
        <v>0.0</v>
      </c>
      <c r="D9" s="103">
        <v>1.0</v>
      </c>
      <c r="E9" s="104">
        <f t="shared" si="6"/>
        <v>0.3333333333</v>
      </c>
      <c r="F9" s="105"/>
      <c r="G9" s="105"/>
      <c r="H9" s="105"/>
      <c r="I9" s="106"/>
      <c r="J9" s="107"/>
      <c r="K9" s="108"/>
      <c r="L9" s="108"/>
      <c r="M9" s="109"/>
      <c r="N9" s="108"/>
      <c r="O9" s="108"/>
      <c r="P9" s="105"/>
      <c r="Q9" s="108"/>
      <c r="R9" s="107"/>
      <c r="S9" s="108"/>
      <c r="T9" s="108"/>
      <c r="U9" s="109"/>
      <c r="V9" s="105"/>
      <c r="W9" s="105"/>
      <c r="X9" s="105"/>
      <c r="Y9" s="110"/>
    </row>
    <row r="11">
      <c r="A11" s="84" t="s">
        <v>65</v>
      </c>
      <c r="B11" s="85" t="s">
        <v>27</v>
      </c>
      <c r="C11" s="86"/>
      <c r="D11" s="86"/>
      <c r="E11" s="87"/>
      <c r="F11" s="15" t="s">
        <v>28</v>
      </c>
      <c r="G11" s="15"/>
      <c r="H11" s="15"/>
      <c r="I11" s="14"/>
      <c r="J11" s="88" t="s">
        <v>29</v>
      </c>
      <c r="K11" s="15"/>
      <c r="L11" s="15"/>
      <c r="M11" s="87"/>
      <c r="N11" s="86" t="s">
        <v>30</v>
      </c>
      <c r="O11" s="86"/>
      <c r="P11" s="86"/>
      <c r="Q11" s="14"/>
      <c r="R11" s="88" t="s">
        <v>31</v>
      </c>
      <c r="S11" s="15"/>
      <c r="T11" s="15"/>
      <c r="U11" s="87"/>
      <c r="V11" s="15" t="s">
        <v>32</v>
      </c>
      <c r="W11" s="15"/>
      <c r="X11" s="15"/>
      <c r="Y11" s="87"/>
    </row>
    <row r="12">
      <c r="A12" s="89" t="s">
        <v>71</v>
      </c>
      <c r="B12" s="21">
        <v>1.0</v>
      </c>
      <c r="C12" s="22">
        <v>2.0</v>
      </c>
      <c r="D12" s="22">
        <v>3.0</v>
      </c>
      <c r="E12" s="23" t="s">
        <v>72</v>
      </c>
      <c r="F12" s="22">
        <v>1.0</v>
      </c>
      <c r="G12" s="22">
        <v>2.0</v>
      </c>
      <c r="H12" s="22">
        <v>3.0</v>
      </c>
      <c r="I12" s="23" t="s">
        <v>72</v>
      </c>
      <c r="J12" s="21">
        <v>1.0</v>
      </c>
      <c r="K12" s="22">
        <v>2.0</v>
      </c>
      <c r="L12" s="22">
        <v>3.0</v>
      </c>
      <c r="M12" s="23" t="s">
        <v>72</v>
      </c>
      <c r="N12" s="22">
        <v>1.0</v>
      </c>
      <c r="O12" s="22">
        <v>2.0</v>
      </c>
      <c r="P12" s="22">
        <v>3.0</v>
      </c>
      <c r="Q12" s="23" t="s">
        <v>72</v>
      </c>
      <c r="R12" s="21">
        <v>1.0</v>
      </c>
      <c r="S12" s="22">
        <v>2.0</v>
      </c>
      <c r="T12" s="22">
        <v>3.0</v>
      </c>
      <c r="U12" s="23" t="s">
        <v>72</v>
      </c>
      <c r="V12" s="22">
        <v>1.0</v>
      </c>
      <c r="W12" s="22">
        <v>2.0</v>
      </c>
      <c r="X12" s="22">
        <v>3.0</v>
      </c>
      <c r="Y12" s="23" t="s">
        <v>72</v>
      </c>
    </row>
    <row r="13">
      <c r="A13" s="90" t="s">
        <v>73</v>
      </c>
      <c r="B13" s="97">
        <v>2.0</v>
      </c>
      <c r="C13" s="97">
        <v>4.0</v>
      </c>
      <c r="D13" s="97">
        <v>5.0</v>
      </c>
      <c r="E13" s="95">
        <f>AVERAGE(B13:D13)</f>
        <v>3.666666667</v>
      </c>
      <c r="F13" s="97">
        <v>1.0</v>
      </c>
      <c r="G13" s="97">
        <v>0.0</v>
      </c>
      <c r="H13" s="97">
        <v>2.0</v>
      </c>
      <c r="I13" s="93">
        <f t="shared" ref="I13:I14" si="7">AVERAGE(F13:H13)</f>
        <v>1</v>
      </c>
      <c r="J13" s="97">
        <v>9.0</v>
      </c>
      <c r="K13" s="97">
        <v>4.0</v>
      </c>
      <c r="L13" s="97">
        <v>2.0</v>
      </c>
      <c r="M13" s="95">
        <f t="shared" ref="M13:M14" si="8">AVERAGE(J13:L13)</f>
        <v>5</v>
      </c>
      <c r="N13" s="97">
        <v>50.0</v>
      </c>
      <c r="O13" s="97">
        <v>42.0</v>
      </c>
      <c r="P13" s="97">
        <v>27.0</v>
      </c>
      <c r="Q13" s="93">
        <f t="shared" ref="Q13:Q16" si="9">AVERAGE(N13:P13)</f>
        <v>39.66666667</v>
      </c>
      <c r="R13" s="97">
        <v>6.0</v>
      </c>
      <c r="S13" s="97">
        <v>7.0</v>
      </c>
      <c r="T13" s="97">
        <v>8.0</v>
      </c>
      <c r="U13" s="95">
        <f t="shared" ref="U13:U14" si="10">AVERAGE(R13:T13)</f>
        <v>7</v>
      </c>
      <c r="V13" s="97">
        <v>28.0</v>
      </c>
      <c r="W13" s="97">
        <v>28.0</v>
      </c>
      <c r="X13" s="97">
        <v>25.0</v>
      </c>
      <c r="Y13" s="95">
        <f t="shared" ref="Y13:Y16" si="11">AVERAGE(V13:X13)</f>
        <v>27</v>
      </c>
    </row>
    <row r="14">
      <c r="A14" s="90" t="s">
        <v>27</v>
      </c>
      <c r="B14" s="94"/>
      <c r="E14" s="95"/>
      <c r="F14" s="97">
        <v>1.0</v>
      </c>
      <c r="G14" s="97">
        <v>2.0</v>
      </c>
      <c r="H14" s="97">
        <v>3.0</v>
      </c>
      <c r="I14" s="93">
        <f t="shared" si="7"/>
        <v>2</v>
      </c>
      <c r="J14" s="97">
        <v>8.0</v>
      </c>
      <c r="K14" s="97">
        <v>4.0</v>
      </c>
      <c r="L14" s="97">
        <v>7.0</v>
      </c>
      <c r="M14" s="95">
        <f t="shared" si="8"/>
        <v>6.333333333</v>
      </c>
      <c r="N14" s="97">
        <v>37.0</v>
      </c>
      <c r="O14" s="97">
        <v>34.0</v>
      </c>
      <c r="P14" s="97">
        <v>13.0</v>
      </c>
      <c r="Q14" s="93">
        <f t="shared" si="9"/>
        <v>28</v>
      </c>
      <c r="R14" s="97">
        <v>5.0</v>
      </c>
      <c r="S14" s="97">
        <v>9.0</v>
      </c>
      <c r="T14" s="97">
        <v>2.0</v>
      </c>
      <c r="U14" s="95">
        <f t="shared" si="10"/>
        <v>5.333333333</v>
      </c>
      <c r="V14" s="97">
        <v>12.0</v>
      </c>
      <c r="W14" s="97">
        <v>20.0</v>
      </c>
      <c r="X14" s="97">
        <v>12.0</v>
      </c>
      <c r="Y14" s="95">
        <f t="shared" si="11"/>
        <v>14.66666667</v>
      </c>
    </row>
    <row r="15">
      <c r="A15" s="90" t="s">
        <v>68</v>
      </c>
      <c r="B15" s="97">
        <v>4.0</v>
      </c>
      <c r="C15" s="97">
        <v>2.0</v>
      </c>
      <c r="D15" s="97">
        <v>6.0</v>
      </c>
      <c r="E15" s="95">
        <f t="shared" ref="E15:E17" si="12">AVERAGE(B15:D15)</f>
        <v>4</v>
      </c>
      <c r="I15" s="93"/>
      <c r="J15" s="94"/>
      <c r="M15" s="95"/>
      <c r="N15" s="97">
        <v>3.0</v>
      </c>
      <c r="O15" s="97">
        <v>3.0</v>
      </c>
      <c r="P15" s="97">
        <v>2.0</v>
      </c>
      <c r="Q15" s="93">
        <f t="shared" si="9"/>
        <v>2.666666667</v>
      </c>
      <c r="R15" s="97">
        <v>0.0</v>
      </c>
      <c r="S15" s="97">
        <v>0.0</v>
      </c>
      <c r="T15" s="97">
        <v>2.0</v>
      </c>
      <c r="U15" s="95"/>
      <c r="V15" s="97">
        <v>2.0</v>
      </c>
      <c r="W15" s="97">
        <v>0.0</v>
      </c>
      <c r="X15" s="97">
        <v>0.0</v>
      </c>
      <c r="Y15" s="95">
        <f t="shared" si="11"/>
        <v>0.6666666667</v>
      </c>
    </row>
    <row r="16">
      <c r="A16" s="90" t="s">
        <v>30</v>
      </c>
      <c r="B16" s="97">
        <v>24.0</v>
      </c>
      <c r="C16" s="97">
        <v>21.0</v>
      </c>
      <c r="D16" s="97">
        <v>13.0</v>
      </c>
      <c r="E16" s="95">
        <f t="shared" si="12"/>
        <v>19.33333333</v>
      </c>
      <c r="F16" s="97">
        <v>2.0</v>
      </c>
      <c r="G16" s="97">
        <v>2.0</v>
      </c>
      <c r="H16" s="97">
        <v>1.0</v>
      </c>
      <c r="I16" s="93">
        <f>AVERAGE(F16:H16)</f>
        <v>1.666666667</v>
      </c>
      <c r="J16" s="97">
        <v>9.0</v>
      </c>
      <c r="K16" s="97">
        <v>7.0</v>
      </c>
      <c r="L16" s="97">
        <v>12.0</v>
      </c>
      <c r="M16" s="95">
        <f>AVERAGE(J16:L16)</f>
        <v>9.333333333</v>
      </c>
      <c r="N16" s="97">
        <v>1.0</v>
      </c>
      <c r="O16" s="97">
        <v>3.0</v>
      </c>
      <c r="P16" s="97">
        <v>2.0</v>
      </c>
      <c r="Q16" s="93">
        <f t="shared" si="9"/>
        <v>2</v>
      </c>
      <c r="R16" s="99"/>
      <c r="U16" s="100"/>
      <c r="V16" s="97">
        <v>0.0</v>
      </c>
      <c r="W16" s="97">
        <v>1.0</v>
      </c>
      <c r="X16" s="97">
        <v>3.0</v>
      </c>
      <c r="Y16" s="95">
        <f t="shared" si="11"/>
        <v>1.333333333</v>
      </c>
    </row>
    <row r="17">
      <c r="A17" s="101" t="s">
        <v>74</v>
      </c>
      <c r="B17" s="111"/>
      <c r="C17" s="105"/>
      <c r="D17" s="105"/>
      <c r="E17" s="110" t="str">
        <f t="shared" si="12"/>
        <v>#DIV/0!</v>
      </c>
      <c r="F17" s="105"/>
      <c r="G17" s="105"/>
      <c r="H17" s="105"/>
      <c r="I17" s="106"/>
      <c r="J17" s="107"/>
      <c r="K17" s="108"/>
      <c r="L17" s="108"/>
      <c r="M17" s="109"/>
      <c r="N17" s="108"/>
      <c r="O17" s="108"/>
      <c r="P17" s="108"/>
      <c r="Q17" s="108"/>
      <c r="R17" s="107"/>
      <c r="S17" s="108"/>
      <c r="T17" s="108"/>
      <c r="U17" s="109"/>
      <c r="V17" s="105"/>
      <c r="W17" s="105"/>
      <c r="X17" s="105"/>
      <c r="Y17" s="110"/>
    </row>
    <row r="21">
      <c r="A21" s="5" t="s">
        <v>75</v>
      </c>
    </row>
    <row r="22">
      <c r="A22" s="2" t="s">
        <v>70</v>
      </c>
    </row>
    <row r="23">
      <c r="A23" s="112" t="s">
        <v>62</v>
      </c>
      <c r="B23" s="85" t="s">
        <v>27</v>
      </c>
      <c r="C23" s="85" t="s">
        <v>28</v>
      </c>
      <c r="D23" s="85" t="s">
        <v>29</v>
      </c>
      <c r="E23" s="85" t="s">
        <v>30</v>
      </c>
      <c r="F23" s="85" t="s">
        <v>31</v>
      </c>
      <c r="G23" s="113" t="s">
        <v>32</v>
      </c>
      <c r="I23" s="19"/>
      <c r="K23" s="114" t="s">
        <v>76</v>
      </c>
      <c r="L23" s="86"/>
      <c r="M23" s="86"/>
      <c r="N23" s="86"/>
      <c r="O23" s="86"/>
    </row>
    <row r="24">
      <c r="A24" s="115" t="s">
        <v>36</v>
      </c>
      <c r="B24" s="116" t="s">
        <v>72</v>
      </c>
      <c r="C24" s="116" t="s">
        <v>72</v>
      </c>
      <c r="D24" s="116" t="s">
        <v>72</v>
      </c>
      <c r="E24" s="116" t="s">
        <v>72</v>
      </c>
      <c r="F24" s="116" t="s">
        <v>72</v>
      </c>
      <c r="G24" s="116" t="s">
        <v>72</v>
      </c>
      <c r="I24" s="50"/>
      <c r="J24" s="117" t="s">
        <v>77</v>
      </c>
      <c r="K24" s="21" t="s">
        <v>36</v>
      </c>
      <c r="L24" s="22" t="s">
        <v>78</v>
      </c>
      <c r="M24" s="22" t="s">
        <v>79</v>
      </c>
      <c r="N24" s="22" t="s">
        <v>80</v>
      </c>
      <c r="O24" s="23" t="s">
        <v>81</v>
      </c>
    </row>
    <row r="25">
      <c r="A25" s="25" t="s">
        <v>2</v>
      </c>
      <c r="B25" s="118">
        <v>3.33333333333333</v>
      </c>
      <c r="C25" s="118">
        <v>0.666666666666667</v>
      </c>
      <c r="D25" s="118">
        <v>0.666666666666667</v>
      </c>
      <c r="E25" s="118">
        <v>10.3333333333333</v>
      </c>
      <c r="F25" s="118">
        <v>1.0</v>
      </c>
      <c r="G25" s="118">
        <v>5.0</v>
      </c>
      <c r="I25" s="119"/>
      <c r="J25" s="3">
        <v>33.0</v>
      </c>
      <c r="K25" s="25" t="s">
        <v>2</v>
      </c>
      <c r="L25" s="120">
        <f t="shared" ref="L25:L44" si="13">SUM(B25,C25,D25,E25,F25,G25)/6</f>
        <v>3.5</v>
      </c>
      <c r="M25" s="121">
        <f t="shared" ref="M25:M44" si="14">L25/J25</f>
        <v>0.1060606061</v>
      </c>
      <c r="N25" s="122">
        <f t="shared" ref="N25:N44" si="15">SUM(B47,C47,D47,E47,F47,G47,)/6</f>
        <v>2.277777778</v>
      </c>
      <c r="O25" s="123">
        <f t="shared" ref="O25:O44" si="16">N25/J25</f>
        <v>0.06902356902</v>
      </c>
    </row>
    <row r="26">
      <c r="A26" s="25" t="s">
        <v>15</v>
      </c>
      <c r="B26" s="124">
        <v>1.66666666666667</v>
      </c>
      <c r="C26" s="124">
        <v>1.0</v>
      </c>
      <c r="D26" s="124">
        <v>1.0</v>
      </c>
      <c r="E26" s="124">
        <v>13.0</v>
      </c>
      <c r="F26" s="124">
        <v>1.33333333333333</v>
      </c>
      <c r="G26" s="124">
        <v>6.33333333333333</v>
      </c>
      <c r="I26" s="119"/>
      <c r="J26" s="3">
        <v>9.0</v>
      </c>
      <c r="K26" s="25" t="s">
        <v>15</v>
      </c>
      <c r="L26" s="120">
        <f t="shared" si="13"/>
        <v>4.055555556</v>
      </c>
      <c r="M26" s="121">
        <f t="shared" si="14"/>
        <v>0.450617284</v>
      </c>
      <c r="N26" s="122">
        <f t="shared" si="15"/>
        <v>1.388888889</v>
      </c>
      <c r="O26" s="123">
        <f t="shared" si="16"/>
        <v>0.1543209877</v>
      </c>
    </row>
    <row r="27">
      <c r="A27" s="25" t="s">
        <v>12</v>
      </c>
      <c r="B27" s="124">
        <v>4.66666666666667</v>
      </c>
      <c r="C27" s="124">
        <v>2.0</v>
      </c>
      <c r="D27" s="124">
        <v>3.33333333333333</v>
      </c>
      <c r="E27" s="124">
        <v>10.0</v>
      </c>
      <c r="F27" s="124">
        <v>3.0</v>
      </c>
      <c r="G27" s="124">
        <v>8.33333333333333</v>
      </c>
      <c r="I27" s="119"/>
      <c r="J27" s="3">
        <v>15.0</v>
      </c>
      <c r="K27" s="25" t="s">
        <v>12</v>
      </c>
      <c r="L27" s="120">
        <f t="shared" si="13"/>
        <v>5.222222222</v>
      </c>
      <c r="M27" s="121">
        <f t="shared" si="14"/>
        <v>0.3481481481</v>
      </c>
      <c r="N27" s="122">
        <f t="shared" si="15"/>
        <v>1.222222222</v>
      </c>
      <c r="O27" s="123">
        <f t="shared" si="16"/>
        <v>0.08148148148</v>
      </c>
    </row>
    <row r="28">
      <c r="A28" s="25" t="s">
        <v>11</v>
      </c>
      <c r="B28" s="124">
        <v>11.3333333333333</v>
      </c>
      <c r="C28" s="124">
        <v>3.66666666666667</v>
      </c>
      <c r="D28" s="124">
        <v>1.66666666666667</v>
      </c>
      <c r="E28" s="124">
        <v>4.0</v>
      </c>
      <c r="F28" s="124">
        <v>1.0</v>
      </c>
      <c r="G28" s="124">
        <v>3.33333333333333</v>
      </c>
      <c r="I28" s="119"/>
      <c r="J28" s="3">
        <v>19.0</v>
      </c>
      <c r="K28" s="25" t="s">
        <v>11</v>
      </c>
      <c r="L28" s="120">
        <f t="shared" si="13"/>
        <v>4.166666667</v>
      </c>
      <c r="M28" s="121">
        <f t="shared" si="14"/>
        <v>0.2192982456</v>
      </c>
      <c r="N28" s="122">
        <f t="shared" si="15"/>
        <v>1.166666667</v>
      </c>
      <c r="O28" s="123">
        <f t="shared" si="16"/>
        <v>0.06140350877</v>
      </c>
    </row>
    <row r="29">
      <c r="A29" s="25" t="s">
        <v>20</v>
      </c>
      <c r="B29" s="124">
        <v>1.33333333333333</v>
      </c>
      <c r="C29" s="124">
        <v>0.333333333333333</v>
      </c>
      <c r="D29" s="124">
        <v>0.333333333333333</v>
      </c>
      <c r="E29" s="124">
        <v>1.0</v>
      </c>
      <c r="F29" s="124"/>
      <c r="G29" s="124">
        <v>2.33333333333333</v>
      </c>
      <c r="I29" s="119"/>
      <c r="J29" s="3">
        <v>3.0</v>
      </c>
      <c r="K29" s="25" t="s">
        <v>20</v>
      </c>
      <c r="L29" s="120">
        <f t="shared" si="13"/>
        <v>0.8888888889</v>
      </c>
      <c r="M29" s="121">
        <f t="shared" si="14"/>
        <v>0.2962962963</v>
      </c>
      <c r="N29" s="122">
        <f t="shared" si="15"/>
        <v>0.1111111111</v>
      </c>
      <c r="O29" s="123">
        <f t="shared" si="16"/>
        <v>0.03703703704</v>
      </c>
    </row>
    <row r="30">
      <c r="A30" s="25" t="s">
        <v>17</v>
      </c>
      <c r="B30" s="124">
        <v>3.66666666666667</v>
      </c>
      <c r="C30" s="124">
        <v>0.666666666666667</v>
      </c>
      <c r="D30" s="124">
        <v>1.0</v>
      </c>
      <c r="E30" s="124">
        <v>7.33333333333333</v>
      </c>
      <c r="F30" s="124">
        <v>1.0</v>
      </c>
      <c r="G30" s="124">
        <v>2.0</v>
      </c>
      <c r="I30" s="119"/>
      <c r="J30" s="3">
        <v>7.0</v>
      </c>
      <c r="K30" s="25" t="s">
        <v>17</v>
      </c>
      <c r="L30" s="120">
        <f t="shared" si="13"/>
        <v>2.611111111</v>
      </c>
      <c r="M30" s="121">
        <f t="shared" si="14"/>
        <v>0.373015873</v>
      </c>
      <c r="N30" s="122">
        <f t="shared" si="15"/>
        <v>1.166666667</v>
      </c>
      <c r="O30" s="123">
        <f t="shared" si="16"/>
        <v>0.1666666667</v>
      </c>
    </row>
    <row r="31">
      <c r="A31" s="25" t="s">
        <v>10</v>
      </c>
      <c r="B31" s="124">
        <v>19.0</v>
      </c>
      <c r="C31" s="124">
        <v>5.33333333333333</v>
      </c>
      <c r="D31" s="124">
        <v>1.66666666666667</v>
      </c>
      <c r="E31" s="124">
        <v>12.3333333333333</v>
      </c>
      <c r="F31" s="124"/>
      <c r="G31" s="124">
        <v>11.6666666666667</v>
      </c>
      <c r="I31" s="119"/>
      <c r="J31" s="3">
        <v>20.0</v>
      </c>
      <c r="K31" s="25" t="s">
        <v>10</v>
      </c>
      <c r="L31" s="120">
        <f t="shared" si="13"/>
        <v>8.333333333</v>
      </c>
      <c r="M31" s="121">
        <f t="shared" si="14"/>
        <v>0.4166666667</v>
      </c>
      <c r="N31" s="122">
        <f t="shared" si="15"/>
        <v>1.888888889</v>
      </c>
      <c r="O31" s="123">
        <f t="shared" si="16"/>
        <v>0.09444444444</v>
      </c>
    </row>
    <row r="32">
      <c r="A32" s="25" t="s">
        <v>5</v>
      </c>
      <c r="B32" s="124">
        <v>4.33333333333333</v>
      </c>
      <c r="C32" s="124">
        <v>0.666666666666667</v>
      </c>
      <c r="D32" s="124">
        <v>1.33333333333333</v>
      </c>
      <c r="E32" s="124">
        <v>7.0</v>
      </c>
      <c r="F32" s="124">
        <v>1.0</v>
      </c>
      <c r="G32" s="124">
        <v>4.66666666666667</v>
      </c>
      <c r="I32" s="119"/>
      <c r="J32" s="3">
        <v>27.0</v>
      </c>
      <c r="K32" s="25" t="s">
        <v>5</v>
      </c>
      <c r="L32" s="120">
        <f t="shared" si="13"/>
        <v>3.166666667</v>
      </c>
      <c r="M32" s="121">
        <f t="shared" si="14"/>
        <v>0.1172839506</v>
      </c>
      <c r="N32" s="122">
        <f t="shared" si="15"/>
        <v>1.555555556</v>
      </c>
      <c r="O32" s="123">
        <f t="shared" si="16"/>
        <v>0.05761316872</v>
      </c>
    </row>
    <row r="33">
      <c r="A33" s="25" t="s">
        <v>82</v>
      </c>
      <c r="B33" s="124"/>
      <c r="C33" s="124"/>
      <c r="D33" s="124"/>
      <c r="E33" s="124">
        <v>0.333333333333333</v>
      </c>
      <c r="F33" s="124"/>
      <c r="G33" s="124"/>
      <c r="I33" s="119"/>
      <c r="J33" s="3">
        <v>1.0</v>
      </c>
      <c r="K33" s="25" t="s">
        <v>22</v>
      </c>
      <c r="L33" s="120">
        <f t="shared" si="13"/>
        <v>0.05555555556</v>
      </c>
      <c r="M33" s="121">
        <f t="shared" si="14"/>
        <v>0.05555555556</v>
      </c>
      <c r="N33" s="122">
        <f t="shared" si="15"/>
        <v>0.3333333333</v>
      </c>
      <c r="O33" s="123">
        <f t="shared" si="16"/>
        <v>0.3333333333</v>
      </c>
    </row>
    <row r="34">
      <c r="A34" s="25" t="s">
        <v>7</v>
      </c>
      <c r="B34" s="124">
        <v>2.66666666666667</v>
      </c>
      <c r="C34" s="124"/>
      <c r="D34" s="124">
        <v>0.333333333333333</v>
      </c>
      <c r="E34" s="124">
        <v>13.0</v>
      </c>
      <c r="F34" s="124">
        <v>0.333333333333333</v>
      </c>
      <c r="G34" s="124">
        <v>4.66666666666667</v>
      </c>
      <c r="I34" s="119"/>
      <c r="J34" s="3">
        <v>25.0</v>
      </c>
      <c r="K34" s="25" t="s">
        <v>7</v>
      </c>
      <c r="L34" s="120">
        <f t="shared" si="13"/>
        <v>3.5</v>
      </c>
      <c r="M34" s="121">
        <f t="shared" si="14"/>
        <v>0.14</v>
      </c>
      <c r="N34" s="122">
        <f t="shared" si="15"/>
        <v>2.277777778</v>
      </c>
      <c r="O34" s="123">
        <f t="shared" si="16"/>
        <v>0.09111111111</v>
      </c>
    </row>
    <row r="35">
      <c r="A35" s="25" t="s">
        <v>6</v>
      </c>
      <c r="B35" s="124">
        <v>3.66666666666667</v>
      </c>
      <c r="C35" s="124">
        <v>2.66666666666667</v>
      </c>
      <c r="D35" s="124">
        <v>0.666666666666667</v>
      </c>
      <c r="E35" s="124">
        <v>7.33333333333333</v>
      </c>
      <c r="F35" s="124">
        <v>0.333333333333333</v>
      </c>
      <c r="G35" s="124">
        <v>3.33333333333333</v>
      </c>
      <c r="I35" s="119"/>
      <c r="J35" s="3">
        <v>27.0</v>
      </c>
      <c r="K35" s="25" t="s">
        <v>6</v>
      </c>
      <c r="L35" s="120">
        <f t="shared" si="13"/>
        <v>3</v>
      </c>
      <c r="M35" s="121">
        <f t="shared" si="14"/>
        <v>0.1111111111</v>
      </c>
      <c r="N35" s="122">
        <f t="shared" si="15"/>
        <v>1.777777778</v>
      </c>
      <c r="O35" s="123">
        <f t="shared" si="16"/>
        <v>0.0658436214</v>
      </c>
    </row>
    <row r="36">
      <c r="A36" s="25" t="s">
        <v>8</v>
      </c>
      <c r="B36" s="124">
        <v>3.0</v>
      </c>
      <c r="C36" s="124">
        <v>14.6666666666667</v>
      </c>
      <c r="D36" s="124">
        <v>14.6666666666667</v>
      </c>
      <c r="E36" s="124">
        <v>30.6666666666667</v>
      </c>
      <c r="F36" s="124">
        <v>16.0</v>
      </c>
      <c r="G36" s="124">
        <v>23.6666666666667</v>
      </c>
      <c r="I36" s="119"/>
      <c r="J36" s="3">
        <v>25.0</v>
      </c>
      <c r="K36" s="25" t="s">
        <v>8</v>
      </c>
      <c r="L36" s="120">
        <f t="shared" si="13"/>
        <v>17.11111111</v>
      </c>
      <c r="M36" s="121">
        <f t="shared" si="14"/>
        <v>0.6844444444</v>
      </c>
      <c r="N36" s="122">
        <f t="shared" si="15"/>
        <v>1.944444444</v>
      </c>
      <c r="O36" s="123">
        <f t="shared" si="16"/>
        <v>0.07777777778</v>
      </c>
    </row>
    <row r="37">
      <c r="A37" s="25" t="s">
        <v>19</v>
      </c>
      <c r="B37" s="124">
        <v>0.666666666666667</v>
      </c>
      <c r="C37" s="124">
        <v>0.333333333333333</v>
      </c>
      <c r="D37" s="124">
        <v>0.666666666666667</v>
      </c>
      <c r="E37" s="124">
        <v>1.33333333333333</v>
      </c>
      <c r="F37" s="124">
        <v>1.0</v>
      </c>
      <c r="G37" s="124">
        <v>0.666666666666667</v>
      </c>
      <c r="I37" s="119"/>
      <c r="J37" s="3">
        <v>4.0</v>
      </c>
      <c r="K37" s="25" t="s">
        <v>19</v>
      </c>
      <c r="L37" s="120">
        <f t="shared" si="13"/>
        <v>0.7777777778</v>
      </c>
      <c r="M37" s="121">
        <f t="shared" si="14"/>
        <v>0.1944444444</v>
      </c>
      <c r="N37" s="122">
        <f t="shared" si="15"/>
        <v>0.3333333333</v>
      </c>
      <c r="O37" s="123">
        <f t="shared" si="16"/>
        <v>0.08333333333</v>
      </c>
    </row>
    <row r="38">
      <c r="A38" s="25" t="s">
        <v>13</v>
      </c>
      <c r="B38" s="124">
        <v>0.666666666666667</v>
      </c>
      <c r="C38" s="124">
        <v>0.333333333333333</v>
      </c>
      <c r="D38" s="124">
        <v>1.0</v>
      </c>
      <c r="E38" s="124">
        <v>3.66666666666667</v>
      </c>
      <c r="F38" s="124"/>
      <c r="G38" s="124">
        <v>2.33333333333333</v>
      </c>
      <c r="I38" s="119"/>
      <c r="J38" s="3">
        <v>10.0</v>
      </c>
      <c r="K38" s="25" t="s">
        <v>13</v>
      </c>
      <c r="L38" s="120">
        <f t="shared" si="13"/>
        <v>1.333333333</v>
      </c>
      <c r="M38" s="121">
        <f t="shared" si="14"/>
        <v>0.1333333333</v>
      </c>
      <c r="N38" s="122">
        <f t="shared" si="15"/>
        <v>1.833333333</v>
      </c>
      <c r="O38" s="123">
        <f t="shared" si="16"/>
        <v>0.1833333333</v>
      </c>
    </row>
    <row r="39">
      <c r="A39" s="25" t="s">
        <v>14</v>
      </c>
      <c r="B39" s="124">
        <v>2.33333333333333</v>
      </c>
      <c r="C39" s="124"/>
      <c r="D39" s="124">
        <v>0.666666666666667</v>
      </c>
      <c r="E39" s="124">
        <v>8.33333333333333</v>
      </c>
      <c r="F39" s="124"/>
      <c r="G39" s="124">
        <v>7.66666666666667</v>
      </c>
      <c r="I39" s="119"/>
      <c r="J39" s="3">
        <v>10.0</v>
      </c>
      <c r="K39" s="25" t="s">
        <v>14</v>
      </c>
      <c r="L39" s="120">
        <f t="shared" si="13"/>
        <v>3.166666667</v>
      </c>
      <c r="M39" s="121">
        <f t="shared" si="14"/>
        <v>0.3166666667</v>
      </c>
      <c r="N39" s="122">
        <f t="shared" si="15"/>
        <v>0.7222222222</v>
      </c>
      <c r="O39" s="123">
        <f t="shared" si="16"/>
        <v>0.07222222222</v>
      </c>
    </row>
    <row r="40">
      <c r="A40" s="25" t="s">
        <v>9</v>
      </c>
      <c r="B40" s="124">
        <v>11.0</v>
      </c>
      <c r="C40" s="124">
        <v>2.33333333333333</v>
      </c>
      <c r="D40" s="124">
        <v>3.66666666666667</v>
      </c>
      <c r="E40" s="124">
        <v>7.66666666666667</v>
      </c>
      <c r="F40" s="124">
        <v>3.33333333333333</v>
      </c>
      <c r="G40" s="124">
        <v>3.66666666666667</v>
      </c>
      <c r="I40" s="119"/>
      <c r="J40" s="3">
        <v>23.0</v>
      </c>
      <c r="K40" s="25" t="s">
        <v>9</v>
      </c>
      <c r="L40" s="120">
        <f t="shared" si="13"/>
        <v>5.277777778</v>
      </c>
      <c r="M40" s="121">
        <f t="shared" si="14"/>
        <v>0.229468599</v>
      </c>
      <c r="N40" s="122">
        <f t="shared" si="15"/>
        <v>2.111111111</v>
      </c>
      <c r="O40" s="123">
        <f t="shared" si="16"/>
        <v>0.09178743961</v>
      </c>
    </row>
    <row r="41">
      <c r="A41" s="25" t="s">
        <v>4</v>
      </c>
      <c r="B41" s="124">
        <v>8.66666666666667</v>
      </c>
      <c r="C41" s="124">
        <v>3.0</v>
      </c>
      <c r="D41" s="124">
        <v>5.0</v>
      </c>
      <c r="E41" s="124">
        <v>14.0</v>
      </c>
      <c r="F41" s="124">
        <v>3.66666666666667</v>
      </c>
      <c r="G41" s="124">
        <v>12.3333333333333</v>
      </c>
      <c r="I41" s="119"/>
      <c r="J41" s="3">
        <v>28.0</v>
      </c>
      <c r="K41" s="25" t="s">
        <v>4</v>
      </c>
      <c r="L41" s="120">
        <f t="shared" si="13"/>
        <v>7.777777778</v>
      </c>
      <c r="M41" s="121">
        <f t="shared" si="14"/>
        <v>0.2777777778</v>
      </c>
      <c r="N41" s="122">
        <f t="shared" si="15"/>
        <v>3.111111111</v>
      </c>
      <c r="O41" s="123">
        <f t="shared" si="16"/>
        <v>0.1111111111</v>
      </c>
    </row>
    <row r="42">
      <c r="A42" s="25" t="s">
        <v>21</v>
      </c>
      <c r="B42" s="124">
        <v>0.333333333333333</v>
      </c>
      <c r="C42" s="124">
        <v>0.333333333333333</v>
      </c>
      <c r="D42" s="124"/>
      <c r="E42" s="124">
        <v>2.0</v>
      </c>
      <c r="F42" s="124">
        <v>0.666666666666667</v>
      </c>
      <c r="G42" s="124">
        <v>1.33333333333333</v>
      </c>
      <c r="I42" s="119"/>
      <c r="J42" s="3">
        <v>3.0</v>
      </c>
      <c r="K42" s="25" t="s">
        <v>21</v>
      </c>
      <c r="L42" s="120">
        <f t="shared" si="13"/>
        <v>0.7777777778</v>
      </c>
      <c r="M42" s="121">
        <f t="shared" si="14"/>
        <v>0.2592592593</v>
      </c>
      <c r="N42" s="122">
        <f t="shared" si="15"/>
        <v>0.4444444444</v>
      </c>
      <c r="O42" s="123">
        <f t="shared" si="16"/>
        <v>0.1481481481</v>
      </c>
    </row>
    <row r="43">
      <c r="A43" s="25" t="s">
        <v>16</v>
      </c>
      <c r="B43" s="124">
        <v>4.0</v>
      </c>
      <c r="C43" s="124">
        <v>1.33333333333333</v>
      </c>
      <c r="D43" s="124">
        <v>2.0</v>
      </c>
      <c r="E43" s="124">
        <v>7.0</v>
      </c>
      <c r="F43" s="48">
        <v>3.0</v>
      </c>
      <c r="G43" s="124">
        <v>2.66666666666667</v>
      </c>
      <c r="I43" s="119"/>
      <c r="J43" s="3">
        <v>9.0</v>
      </c>
      <c r="K43" s="25" t="s">
        <v>16</v>
      </c>
      <c r="L43" s="120">
        <f t="shared" si="13"/>
        <v>3.333333333</v>
      </c>
      <c r="M43" s="121">
        <f t="shared" si="14"/>
        <v>0.3703703704</v>
      </c>
      <c r="N43" s="122">
        <f t="shared" si="15"/>
        <v>2.277777778</v>
      </c>
      <c r="O43" s="123">
        <f t="shared" si="16"/>
        <v>0.2530864198</v>
      </c>
    </row>
    <row r="44">
      <c r="A44" s="25" t="s">
        <v>3</v>
      </c>
      <c r="B44" s="124">
        <v>1.66666666666667</v>
      </c>
      <c r="C44" s="124">
        <v>1.66666666666667</v>
      </c>
      <c r="D44" s="124">
        <v>0.666666666666667</v>
      </c>
      <c r="E44" s="124">
        <v>10.0</v>
      </c>
      <c r="F44" s="124">
        <v>0.666666666666667</v>
      </c>
      <c r="G44" s="124">
        <v>8.33333333333333</v>
      </c>
      <c r="I44" s="119"/>
      <c r="J44" s="3">
        <v>29.0</v>
      </c>
      <c r="K44" s="25" t="s">
        <v>3</v>
      </c>
      <c r="L44" s="120">
        <f t="shared" si="13"/>
        <v>3.833333333</v>
      </c>
      <c r="M44" s="121">
        <f t="shared" si="14"/>
        <v>0.132183908</v>
      </c>
      <c r="N44" s="122">
        <f t="shared" si="15"/>
        <v>1.777777778</v>
      </c>
      <c r="O44" s="123">
        <f t="shared" si="16"/>
        <v>0.06130268199</v>
      </c>
    </row>
    <row r="45">
      <c r="A45" s="112" t="s">
        <v>65</v>
      </c>
      <c r="B45" s="85" t="s">
        <v>27</v>
      </c>
      <c r="C45" s="85" t="s">
        <v>28</v>
      </c>
      <c r="D45" s="85" t="s">
        <v>29</v>
      </c>
      <c r="E45" s="85" t="s">
        <v>30</v>
      </c>
      <c r="F45" s="85" t="s">
        <v>31</v>
      </c>
      <c r="G45" s="113" t="s">
        <v>32</v>
      </c>
      <c r="H45" s="19"/>
      <c r="I45" s="19"/>
      <c r="L45" s="45"/>
      <c r="M45" s="121"/>
      <c r="N45" s="125"/>
      <c r="O45" s="123"/>
    </row>
    <row r="46">
      <c r="A46" s="115" t="s">
        <v>36</v>
      </c>
      <c r="B46" s="116" t="s">
        <v>72</v>
      </c>
      <c r="C46" s="116" t="s">
        <v>72</v>
      </c>
      <c r="D46" s="116" t="s">
        <v>72</v>
      </c>
      <c r="E46" s="116" t="s">
        <v>72</v>
      </c>
      <c r="F46" s="116" t="s">
        <v>72</v>
      </c>
      <c r="G46" s="116" t="s">
        <v>72</v>
      </c>
      <c r="H46" s="50"/>
      <c r="I46" s="50"/>
      <c r="J46" s="50"/>
      <c r="K46" s="50"/>
      <c r="L46" s="50"/>
      <c r="M46" s="50"/>
    </row>
    <row r="47">
      <c r="A47" s="25" t="s">
        <v>2</v>
      </c>
      <c r="B47" s="118">
        <v>2.0</v>
      </c>
      <c r="C47" s="118"/>
      <c r="D47" s="118">
        <v>1.66666666666667</v>
      </c>
      <c r="E47" s="118">
        <v>5.66666666666667</v>
      </c>
      <c r="F47" s="118">
        <v>1.66666666666667</v>
      </c>
      <c r="G47" s="118">
        <v>2.66666666666667</v>
      </c>
      <c r="H47" s="126"/>
      <c r="I47" s="119"/>
      <c r="J47" s="126"/>
      <c r="K47" s="119"/>
      <c r="L47" s="119"/>
      <c r="M47" s="119"/>
    </row>
    <row r="48">
      <c r="A48" s="25" t="s">
        <v>15</v>
      </c>
      <c r="B48" s="124">
        <v>1.33333333333333</v>
      </c>
      <c r="C48" s="124"/>
      <c r="D48" s="124">
        <v>0.333333333333333</v>
      </c>
      <c r="E48" s="124">
        <v>4.66666666666667</v>
      </c>
      <c r="F48" s="124">
        <v>0.333333333333333</v>
      </c>
      <c r="G48" s="124">
        <v>1.66666666666667</v>
      </c>
      <c r="H48" s="126"/>
      <c r="I48" s="119"/>
      <c r="J48" s="126"/>
      <c r="K48" s="119"/>
      <c r="L48" s="119"/>
      <c r="M48" s="119"/>
    </row>
    <row r="49">
      <c r="A49" s="25" t="s">
        <v>12</v>
      </c>
      <c r="B49" s="124">
        <v>1.0</v>
      </c>
      <c r="C49" s="124"/>
      <c r="D49" s="124"/>
      <c r="E49" s="124">
        <v>3.66666666666667</v>
      </c>
      <c r="F49" s="124">
        <v>0.666666666666667</v>
      </c>
      <c r="G49" s="124">
        <v>2.0</v>
      </c>
      <c r="H49" s="126"/>
      <c r="I49" s="119"/>
      <c r="J49" s="126"/>
      <c r="K49" s="119"/>
      <c r="L49" s="119"/>
      <c r="M49" s="119"/>
    </row>
    <row r="50">
      <c r="A50" s="25" t="s">
        <v>11</v>
      </c>
      <c r="B50" s="124">
        <v>2.66666666666667</v>
      </c>
      <c r="C50" s="124"/>
      <c r="D50" s="124">
        <v>0.333333333333333</v>
      </c>
      <c r="E50" s="124">
        <v>1.66666666666667</v>
      </c>
      <c r="F50" s="124">
        <v>0.333333333333333</v>
      </c>
      <c r="G50" s="124">
        <v>2.0</v>
      </c>
      <c r="H50" s="126"/>
      <c r="I50" s="119"/>
      <c r="J50" s="126"/>
      <c r="K50" s="119"/>
      <c r="L50" s="119"/>
      <c r="M50" s="119"/>
    </row>
    <row r="51">
      <c r="A51" s="25" t="s">
        <v>20</v>
      </c>
      <c r="B51" s="124">
        <v>0.333333333333333</v>
      </c>
      <c r="C51" s="124"/>
      <c r="D51" s="124"/>
      <c r="G51" s="124">
        <v>0.333333333333333</v>
      </c>
      <c r="H51" s="126"/>
      <c r="I51" s="119"/>
      <c r="J51" s="126"/>
      <c r="K51" s="119"/>
      <c r="L51" s="119"/>
      <c r="M51" s="119"/>
    </row>
    <row r="52">
      <c r="A52" s="25" t="s">
        <v>17</v>
      </c>
      <c r="B52" s="124">
        <v>1.33333333333333</v>
      </c>
      <c r="C52" s="124"/>
      <c r="D52" s="124">
        <v>1.33333333333333</v>
      </c>
      <c r="E52" s="124">
        <v>2.33333333333333</v>
      </c>
      <c r="F52" s="124">
        <v>0.666666666666667</v>
      </c>
      <c r="G52" s="124">
        <v>1.33333333333333</v>
      </c>
      <c r="H52" s="119"/>
      <c r="I52" s="119"/>
      <c r="J52" s="119"/>
      <c r="K52" s="119"/>
      <c r="L52" s="119"/>
      <c r="M52" s="119"/>
    </row>
    <row r="53">
      <c r="A53" s="25" t="s">
        <v>10</v>
      </c>
      <c r="B53" s="124">
        <v>2.0</v>
      </c>
      <c r="C53" s="124">
        <v>1.33333333333333</v>
      </c>
      <c r="D53" s="124">
        <v>1.33333333333333</v>
      </c>
      <c r="E53" s="124">
        <v>4.66666666666667</v>
      </c>
      <c r="G53" s="124">
        <v>2.0</v>
      </c>
      <c r="H53" s="126"/>
      <c r="I53" s="119"/>
      <c r="J53" s="126"/>
      <c r="K53" s="119"/>
      <c r="L53" s="119"/>
      <c r="M53" s="119"/>
    </row>
    <row r="54">
      <c r="A54" s="25" t="s">
        <v>5</v>
      </c>
      <c r="B54" s="124">
        <v>2.0</v>
      </c>
      <c r="C54" s="124"/>
      <c r="D54" s="124">
        <v>1.66666666666667</v>
      </c>
      <c r="E54" s="124">
        <v>3.66666666666667</v>
      </c>
      <c r="F54" s="124">
        <v>0.666666666666667</v>
      </c>
      <c r="G54" s="124">
        <v>1.33333333333333</v>
      </c>
      <c r="H54" s="126"/>
      <c r="I54" s="119"/>
      <c r="J54" s="126"/>
      <c r="K54" s="119"/>
      <c r="L54" s="119"/>
      <c r="M54" s="119"/>
    </row>
    <row r="55">
      <c r="A55" s="25" t="s">
        <v>82</v>
      </c>
      <c r="B55" s="124">
        <v>0.0</v>
      </c>
      <c r="C55" s="124"/>
      <c r="D55" s="124"/>
      <c r="E55" s="124">
        <v>1.33333333333333</v>
      </c>
      <c r="F55" s="124">
        <v>0.666666666666667</v>
      </c>
      <c r="G55" s="124">
        <v>0.0</v>
      </c>
      <c r="H55" s="126"/>
      <c r="I55" s="119"/>
      <c r="J55" s="126"/>
      <c r="K55" s="119"/>
      <c r="L55" s="119"/>
      <c r="M55" s="119"/>
    </row>
    <row r="56">
      <c r="A56" s="25" t="s">
        <v>7</v>
      </c>
      <c r="B56" s="124">
        <v>1.66666666666667</v>
      </c>
      <c r="C56" s="124"/>
      <c r="D56" s="124">
        <v>1.0</v>
      </c>
      <c r="E56" s="124">
        <v>6.66666666666667</v>
      </c>
      <c r="G56" s="124">
        <v>4.33333333333333</v>
      </c>
      <c r="H56" s="119"/>
      <c r="I56" s="119"/>
      <c r="J56" s="119"/>
      <c r="K56" s="119"/>
      <c r="L56" s="119"/>
      <c r="M56" s="119"/>
    </row>
    <row r="57">
      <c r="A57" s="25" t="s">
        <v>6</v>
      </c>
      <c r="B57" s="124">
        <v>0.333333333333333</v>
      </c>
      <c r="C57" s="124"/>
      <c r="D57" s="124">
        <v>2.33333333333333</v>
      </c>
      <c r="E57" s="124">
        <v>5.0</v>
      </c>
      <c r="F57" s="124">
        <v>1.0</v>
      </c>
      <c r="G57" s="124">
        <v>2.0</v>
      </c>
      <c r="H57" s="119"/>
      <c r="I57" s="119"/>
      <c r="J57" s="119"/>
      <c r="K57" s="119"/>
      <c r="L57" s="119"/>
      <c r="M57" s="119"/>
    </row>
    <row r="58">
      <c r="A58" s="25" t="s">
        <v>8</v>
      </c>
      <c r="B58" s="124">
        <v>0.666666666666667</v>
      </c>
      <c r="C58" s="124">
        <v>0.333333333333333</v>
      </c>
      <c r="D58" s="124">
        <v>2.0</v>
      </c>
      <c r="E58" s="124">
        <v>4.33333333333333</v>
      </c>
      <c r="F58" s="124">
        <v>0.666666666666667</v>
      </c>
      <c r="G58" s="124">
        <v>3.66666666666667</v>
      </c>
      <c r="H58" s="126"/>
      <c r="I58" s="119"/>
      <c r="J58" s="126"/>
      <c r="K58" s="119"/>
      <c r="L58" s="119"/>
      <c r="M58" s="119"/>
    </row>
    <row r="59">
      <c r="A59" s="25" t="s">
        <v>19</v>
      </c>
      <c r="B59" s="124">
        <v>0.333333333333333</v>
      </c>
      <c r="C59" s="124"/>
      <c r="D59" s="124"/>
      <c r="E59" s="124">
        <v>0.666666666666667</v>
      </c>
      <c r="G59" s="124">
        <v>1.0</v>
      </c>
      <c r="H59" s="126"/>
      <c r="I59" s="119"/>
      <c r="J59" s="126"/>
      <c r="K59" s="119"/>
      <c r="L59" s="119"/>
      <c r="M59" s="119"/>
    </row>
    <row r="60">
      <c r="A60" s="25" t="s">
        <v>13</v>
      </c>
      <c r="C60" s="124"/>
      <c r="D60" s="124">
        <v>0.666666666666667</v>
      </c>
      <c r="E60" s="124">
        <v>4.33333333333333</v>
      </c>
      <c r="F60" s="124">
        <v>2.0</v>
      </c>
      <c r="G60" s="124">
        <v>4.0</v>
      </c>
      <c r="H60" s="126"/>
      <c r="I60" s="119"/>
      <c r="J60" s="126"/>
      <c r="K60" s="119"/>
      <c r="L60" s="119"/>
      <c r="M60" s="119"/>
    </row>
    <row r="61">
      <c r="A61" s="25" t="s">
        <v>14</v>
      </c>
      <c r="C61" s="124"/>
      <c r="D61" s="124">
        <v>0.333333333333333</v>
      </c>
      <c r="E61" s="124">
        <v>2.33333333333333</v>
      </c>
      <c r="G61" s="124">
        <v>1.66666666666667</v>
      </c>
      <c r="H61" s="126"/>
      <c r="I61" s="119"/>
      <c r="J61" s="126"/>
      <c r="K61" s="119"/>
      <c r="L61" s="119"/>
      <c r="M61" s="119"/>
    </row>
    <row r="62">
      <c r="A62" s="25" t="s">
        <v>9</v>
      </c>
      <c r="B62" s="124">
        <v>3.33333333333333</v>
      </c>
      <c r="C62" s="124"/>
      <c r="D62" s="124">
        <v>2.0</v>
      </c>
      <c r="E62" s="124">
        <v>5.33333333333333</v>
      </c>
      <c r="F62" s="124">
        <v>1.0</v>
      </c>
      <c r="G62" s="124">
        <v>1.0</v>
      </c>
      <c r="H62" s="126"/>
      <c r="I62" s="119"/>
      <c r="J62" s="126"/>
      <c r="K62" s="119"/>
      <c r="L62" s="119"/>
      <c r="M62" s="119"/>
    </row>
    <row r="63">
      <c r="A63" s="25" t="s">
        <v>4</v>
      </c>
      <c r="B63" s="124">
        <v>4.0</v>
      </c>
      <c r="C63" s="124">
        <v>0.666666666666667</v>
      </c>
      <c r="D63" s="124">
        <v>2.0</v>
      </c>
      <c r="E63" s="124">
        <v>5.33333333333333</v>
      </c>
      <c r="F63" s="124">
        <v>1.0</v>
      </c>
      <c r="G63" s="124">
        <v>5.66666666666667</v>
      </c>
      <c r="H63" s="126"/>
      <c r="I63" s="119"/>
      <c r="J63" s="126"/>
      <c r="K63" s="119"/>
      <c r="L63" s="119"/>
      <c r="M63" s="119"/>
    </row>
    <row r="64">
      <c r="A64" s="25" t="s">
        <v>21</v>
      </c>
      <c r="B64" s="124">
        <v>0.666666666666667</v>
      </c>
      <c r="C64" s="124"/>
      <c r="D64" s="124">
        <v>0.666666666666667</v>
      </c>
      <c r="E64" s="124">
        <v>0.333333333333333</v>
      </c>
      <c r="G64" s="124">
        <v>1.0</v>
      </c>
      <c r="H64" s="126"/>
      <c r="I64" s="119"/>
      <c r="J64" s="126"/>
      <c r="K64" s="119"/>
      <c r="L64" s="119"/>
      <c r="M64" s="119"/>
    </row>
    <row r="65">
      <c r="A65" s="25" t="s">
        <v>16</v>
      </c>
      <c r="B65" s="124">
        <v>1.66666666666667</v>
      </c>
      <c r="C65" s="124">
        <v>2.0</v>
      </c>
      <c r="D65" s="124">
        <v>2.0</v>
      </c>
      <c r="E65" s="124">
        <v>4.0</v>
      </c>
      <c r="F65" s="124">
        <v>1.33333333333333</v>
      </c>
      <c r="G65" s="124">
        <v>2.66666666666667</v>
      </c>
      <c r="H65" s="126"/>
      <c r="I65" s="119"/>
      <c r="J65" s="126"/>
      <c r="K65" s="119"/>
      <c r="L65" s="119"/>
      <c r="M65" s="119"/>
    </row>
    <row r="66">
      <c r="A66" s="25" t="s">
        <v>3</v>
      </c>
      <c r="B66" s="124">
        <v>0.666666666666667</v>
      </c>
      <c r="C66" s="124">
        <v>0.333333333333333</v>
      </c>
      <c r="D66" s="124">
        <v>1.0</v>
      </c>
      <c r="E66" s="124">
        <v>6.0</v>
      </c>
      <c r="F66" s="124">
        <v>0.333333333333333</v>
      </c>
      <c r="G66" s="124">
        <v>2.33333333333333</v>
      </c>
      <c r="H66" s="126"/>
      <c r="I66" s="119"/>
      <c r="J66" s="126"/>
      <c r="K66" s="119"/>
      <c r="L66" s="119"/>
      <c r="M66" s="119"/>
    </row>
  </sheetData>
  <conditionalFormatting sqref="A1 A3:D3 N3:P3 A11:B11 C11:D12 N11:P12 M12 A21 A23:T23 A45:M45">
    <cfRule type="containsText" dxfId="0" priority="1" operator="containsText" text="Match found">
      <formula>NOT(ISERROR(SEARCH(("Match found"),(A1))))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5" t="s">
        <v>69</v>
      </c>
    </row>
    <row r="2">
      <c r="A2" s="2" t="s">
        <v>70</v>
      </c>
    </row>
    <row r="3">
      <c r="A3" s="84" t="s">
        <v>62</v>
      </c>
      <c r="B3" s="85" t="s">
        <v>27</v>
      </c>
      <c r="C3" s="86"/>
      <c r="D3" s="86"/>
      <c r="E3" s="87"/>
      <c r="F3" s="15" t="s">
        <v>28</v>
      </c>
      <c r="G3" s="15"/>
      <c r="H3" s="15"/>
      <c r="I3" s="14"/>
      <c r="J3" s="88" t="s">
        <v>29</v>
      </c>
      <c r="K3" s="15"/>
      <c r="L3" s="15"/>
      <c r="M3" s="87"/>
      <c r="N3" s="86" t="s">
        <v>30</v>
      </c>
      <c r="O3" s="86"/>
      <c r="P3" s="86"/>
      <c r="Q3" s="14"/>
      <c r="R3" s="88" t="s">
        <v>31</v>
      </c>
      <c r="S3" s="15"/>
      <c r="T3" s="15"/>
      <c r="U3" s="87"/>
      <c r="V3" s="15" t="s">
        <v>32</v>
      </c>
      <c r="W3" s="15"/>
      <c r="X3" s="15"/>
      <c r="Y3" s="87"/>
    </row>
    <row r="4">
      <c r="A4" s="89" t="s">
        <v>71</v>
      </c>
      <c r="B4" s="21">
        <v>1.0</v>
      </c>
      <c r="C4" s="22">
        <v>2.0</v>
      </c>
      <c r="D4" s="22">
        <v>3.0</v>
      </c>
      <c r="E4" s="23" t="s">
        <v>72</v>
      </c>
      <c r="F4" s="22">
        <v>1.0</v>
      </c>
      <c r="G4" s="22">
        <v>2.0</v>
      </c>
      <c r="H4" s="22">
        <v>3.0</v>
      </c>
      <c r="I4" s="23" t="s">
        <v>72</v>
      </c>
      <c r="J4" s="21">
        <v>1.0</v>
      </c>
      <c r="K4" s="22">
        <v>2.0</v>
      </c>
      <c r="L4" s="22">
        <v>3.0</v>
      </c>
      <c r="M4" s="23" t="s">
        <v>72</v>
      </c>
      <c r="N4" s="22">
        <v>1.0</v>
      </c>
      <c r="O4" s="22">
        <v>2.0</v>
      </c>
      <c r="P4" s="22">
        <v>3.0</v>
      </c>
      <c r="Q4" s="23" t="s">
        <v>72</v>
      </c>
      <c r="R4" s="21">
        <v>1.0</v>
      </c>
      <c r="S4" s="22">
        <v>2.0</v>
      </c>
      <c r="T4" s="22">
        <v>3.0</v>
      </c>
      <c r="U4" s="23" t="s">
        <v>72</v>
      </c>
      <c r="V4" s="22">
        <v>1.0</v>
      </c>
      <c r="W4" s="22">
        <v>2.0</v>
      </c>
      <c r="X4" s="22">
        <v>3.0</v>
      </c>
      <c r="Y4" s="23" t="s">
        <v>72</v>
      </c>
    </row>
    <row r="5">
      <c r="A5" s="90" t="s">
        <v>73</v>
      </c>
      <c r="B5" s="91"/>
      <c r="C5" s="91">
        <v>7.0</v>
      </c>
      <c r="D5" s="91">
        <v>9.0</v>
      </c>
      <c r="E5" s="127">
        <v>7.0</v>
      </c>
      <c r="F5" s="2">
        <v>2.0</v>
      </c>
      <c r="G5" s="2">
        <v>6.0</v>
      </c>
      <c r="H5" s="2">
        <v>2.0</v>
      </c>
      <c r="I5" s="93">
        <f t="shared" ref="I5:I8" si="1">AVERAGE(F5:H5)</f>
        <v>3.333333333</v>
      </c>
      <c r="J5" s="94">
        <v>1.0</v>
      </c>
      <c r="K5" s="2">
        <v>2.0</v>
      </c>
      <c r="L5" s="2">
        <v>2.0</v>
      </c>
      <c r="M5" s="95">
        <f t="shared" ref="M5:M6" si="2">AVERAGE(J5:L5)</f>
        <v>1.666666667</v>
      </c>
      <c r="N5" s="2">
        <v>77.0</v>
      </c>
      <c r="O5" s="2">
        <v>69.0</v>
      </c>
      <c r="P5" s="2">
        <v>69.0</v>
      </c>
      <c r="Q5" s="95">
        <f t="shared" ref="Q5:Q8" si="3">AVERAGE(N5:P5)</f>
        <v>71.66666667</v>
      </c>
      <c r="R5" s="2">
        <v>4.0</v>
      </c>
      <c r="S5" s="2">
        <v>3.0</v>
      </c>
      <c r="T5" s="2">
        <v>2.0</v>
      </c>
      <c r="U5" s="95">
        <f t="shared" ref="U5:U6" si="4">AVERAGE(R5:T5)</f>
        <v>3</v>
      </c>
      <c r="V5" s="2">
        <v>50.0</v>
      </c>
      <c r="W5" s="2">
        <v>43.0</v>
      </c>
      <c r="X5" s="2">
        <v>41.0</v>
      </c>
      <c r="Y5" s="95">
        <f t="shared" ref="Y5:Y8" si="5">AVERAGE(V5:X5)</f>
        <v>44.66666667</v>
      </c>
    </row>
    <row r="6">
      <c r="A6" s="90" t="s">
        <v>27</v>
      </c>
      <c r="B6" s="96"/>
      <c r="C6" s="97"/>
      <c r="D6" s="97"/>
      <c r="E6" s="98"/>
      <c r="F6" s="2">
        <v>36.0</v>
      </c>
      <c r="G6" s="2">
        <v>45.0</v>
      </c>
      <c r="H6" s="2">
        <v>41.0</v>
      </c>
      <c r="I6" s="93">
        <f t="shared" si="1"/>
        <v>40.66666667</v>
      </c>
      <c r="J6" s="94">
        <v>42.0</v>
      </c>
      <c r="K6" s="2">
        <v>39.0</v>
      </c>
      <c r="L6" s="2">
        <v>35.0</v>
      </c>
      <c r="M6" s="95">
        <f t="shared" si="2"/>
        <v>38.66666667</v>
      </c>
      <c r="N6" s="2">
        <v>92.0</v>
      </c>
      <c r="O6" s="2">
        <v>107.0</v>
      </c>
      <c r="P6" s="2">
        <v>101.0</v>
      </c>
      <c r="Q6" s="95">
        <f t="shared" si="3"/>
        <v>100</v>
      </c>
      <c r="R6" s="2">
        <v>38.0</v>
      </c>
      <c r="S6" s="2">
        <v>31.0</v>
      </c>
      <c r="T6" s="2">
        <v>34.0</v>
      </c>
      <c r="U6" s="95">
        <f t="shared" si="4"/>
        <v>34.33333333</v>
      </c>
      <c r="V6" s="2">
        <v>60.0</v>
      </c>
      <c r="W6" s="2">
        <v>65.0</v>
      </c>
      <c r="X6" s="2">
        <v>57.0</v>
      </c>
      <c r="Y6" s="95">
        <f t="shared" si="5"/>
        <v>60.66666667</v>
      </c>
    </row>
    <row r="7">
      <c r="A7" s="90" t="s">
        <v>68</v>
      </c>
      <c r="B7" s="96"/>
      <c r="C7" s="97">
        <v>4.0</v>
      </c>
      <c r="D7" s="97">
        <v>9.0</v>
      </c>
      <c r="E7" s="128">
        <v>8.0</v>
      </c>
      <c r="F7" s="2">
        <v>0.0</v>
      </c>
      <c r="G7" s="2">
        <v>1.0</v>
      </c>
      <c r="H7" s="2">
        <v>0.0</v>
      </c>
      <c r="I7" s="93">
        <f t="shared" si="1"/>
        <v>0.3333333333</v>
      </c>
      <c r="J7" s="94"/>
      <c r="M7" s="95"/>
      <c r="N7" s="2">
        <v>7.0</v>
      </c>
      <c r="O7" s="2">
        <v>8.0</v>
      </c>
      <c r="P7" s="2">
        <v>4.0</v>
      </c>
      <c r="Q7" s="93">
        <f t="shared" si="3"/>
        <v>6.333333333</v>
      </c>
      <c r="R7" s="94"/>
      <c r="U7" s="95"/>
      <c r="V7" s="2">
        <v>0.0</v>
      </c>
      <c r="W7" s="2">
        <v>3.0</v>
      </c>
      <c r="X7" s="2">
        <v>2.0</v>
      </c>
      <c r="Y7" s="95">
        <f t="shared" si="5"/>
        <v>1.666666667</v>
      </c>
    </row>
    <row r="8">
      <c r="A8" s="90" t="s">
        <v>30</v>
      </c>
      <c r="B8" s="96"/>
      <c r="C8" s="97">
        <v>74.0</v>
      </c>
      <c r="D8" s="97">
        <v>74.0</v>
      </c>
      <c r="E8" s="128">
        <v>73.0</v>
      </c>
      <c r="F8" s="2">
        <v>7.0</v>
      </c>
      <c r="G8" s="2">
        <v>9.0</v>
      </c>
      <c r="H8" s="2">
        <v>6.0</v>
      </c>
      <c r="I8" s="93">
        <f t="shared" si="1"/>
        <v>7.333333333</v>
      </c>
      <c r="J8" s="94">
        <v>16.0</v>
      </c>
      <c r="K8" s="2">
        <v>11.0</v>
      </c>
      <c r="L8" s="2">
        <v>9.0</v>
      </c>
      <c r="M8" s="95">
        <f>AVERAGE(J8:L8)</f>
        <v>12</v>
      </c>
      <c r="N8" s="2">
        <v>0.0</v>
      </c>
      <c r="O8" s="2">
        <v>1.0</v>
      </c>
      <c r="P8" s="2">
        <v>1.0</v>
      </c>
      <c r="Q8" s="93">
        <f t="shared" si="3"/>
        <v>0.6666666667</v>
      </c>
      <c r="R8" s="99"/>
      <c r="U8" s="100"/>
      <c r="V8" s="2">
        <v>6.0</v>
      </c>
      <c r="W8" s="2">
        <v>3.0</v>
      </c>
      <c r="X8" s="2">
        <v>4.0</v>
      </c>
      <c r="Y8" s="95">
        <f t="shared" si="5"/>
        <v>4.333333333</v>
      </c>
    </row>
    <row r="9">
      <c r="A9" s="101" t="s">
        <v>74</v>
      </c>
      <c r="B9" s="102"/>
      <c r="C9" s="103">
        <v>1.0</v>
      </c>
      <c r="D9" s="103">
        <v>0.0</v>
      </c>
      <c r="E9" s="129">
        <v>0.0</v>
      </c>
      <c r="F9" s="105"/>
      <c r="G9" s="105"/>
      <c r="H9" s="105"/>
      <c r="I9" s="106"/>
      <c r="J9" s="107"/>
      <c r="K9" s="108"/>
      <c r="L9" s="108"/>
      <c r="M9" s="109"/>
      <c r="N9" s="108"/>
      <c r="O9" s="108"/>
      <c r="P9" s="105"/>
      <c r="Q9" s="108"/>
      <c r="R9" s="107"/>
      <c r="S9" s="108"/>
      <c r="T9" s="108"/>
      <c r="U9" s="109"/>
      <c r="V9" s="105"/>
      <c r="W9" s="105"/>
      <c r="X9" s="105"/>
      <c r="Y9" s="110"/>
    </row>
    <row r="11">
      <c r="A11" s="84" t="s">
        <v>65</v>
      </c>
      <c r="B11" s="85" t="s">
        <v>27</v>
      </c>
      <c r="C11" s="86"/>
      <c r="D11" s="86"/>
      <c r="E11" s="87"/>
      <c r="F11" s="15" t="s">
        <v>28</v>
      </c>
      <c r="G11" s="15"/>
      <c r="H11" s="15"/>
      <c r="I11" s="14"/>
      <c r="J11" s="88" t="s">
        <v>29</v>
      </c>
      <c r="K11" s="15"/>
      <c r="L11" s="15"/>
      <c r="M11" s="87"/>
      <c r="N11" s="86" t="s">
        <v>30</v>
      </c>
      <c r="O11" s="86"/>
      <c r="P11" s="86"/>
      <c r="Q11" s="14"/>
      <c r="R11" s="88" t="s">
        <v>31</v>
      </c>
      <c r="S11" s="15"/>
      <c r="T11" s="15"/>
      <c r="U11" s="87"/>
      <c r="V11" s="15" t="s">
        <v>32</v>
      </c>
      <c r="W11" s="15"/>
      <c r="X11" s="15"/>
      <c r="Y11" s="87"/>
    </row>
    <row r="12">
      <c r="A12" s="89" t="s">
        <v>71</v>
      </c>
      <c r="B12" s="21">
        <v>1.0</v>
      </c>
      <c r="C12" s="22">
        <v>2.0</v>
      </c>
      <c r="D12" s="22">
        <v>3.0</v>
      </c>
      <c r="E12" s="23" t="s">
        <v>72</v>
      </c>
      <c r="F12" s="22">
        <v>1.0</v>
      </c>
      <c r="G12" s="22">
        <v>2.0</v>
      </c>
      <c r="H12" s="22">
        <v>3.0</v>
      </c>
      <c r="I12" s="23" t="s">
        <v>72</v>
      </c>
      <c r="J12" s="21">
        <v>1.0</v>
      </c>
      <c r="K12" s="22">
        <v>2.0</v>
      </c>
      <c r="L12" s="22">
        <v>3.0</v>
      </c>
      <c r="M12" s="23" t="s">
        <v>72</v>
      </c>
      <c r="N12" s="22">
        <v>1.0</v>
      </c>
      <c r="O12" s="22">
        <v>2.0</v>
      </c>
      <c r="P12" s="22">
        <v>3.0</v>
      </c>
      <c r="Q12" s="23" t="s">
        <v>72</v>
      </c>
      <c r="R12" s="21">
        <v>1.0</v>
      </c>
      <c r="S12" s="22">
        <v>2.0</v>
      </c>
      <c r="T12" s="22">
        <v>3.0</v>
      </c>
      <c r="U12" s="23" t="s">
        <v>72</v>
      </c>
      <c r="V12" s="22">
        <v>1.0</v>
      </c>
      <c r="W12" s="22">
        <v>2.0</v>
      </c>
      <c r="X12" s="22">
        <v>3.0</v>
      </c>
      <c r="Y12" s="23" t="s">
        <v>72</v>
      </c>
    </row>
    <row r="13">
      <c r="A13" s="90" t="s">
        <v>73</v>
      </c>
      <c r="B13" s="97">
        <v>8.0</v>
      </c>
      <c r="C13" s="97">
        <v>1.0</v>
      </c>
      <c r="D13" s="97">
        <v>2.0</v>
      </c>
      <c r="E13" s="95">
        <f>AVERAGE(B13:D13)</f>
        <v>3.666666667</v>
      </c>
      <c r="F13" s="130">
        <v>10.0</v>
      </c>
      <c r="G13" s="130">
        <v>3.0</v>
      </c>
      <c r="H13" s="91">
        <v>5.0</v>
      </c>
      <c r="I13" s="95">
        <f t="shared" ref="I13:I14" si="6">AVERAGE(F13:H13)</f>
        <v>6</v>
      </c>
      <c r="J13" s="94">
        <v>3.0</v>
      </c>
      <c r="K13" s="2">
        <v>3.0</v>
      </c>
      <c r="L13" s="2">
        <v>5.0</v>
      </c>
      <c r="M13" s="95">
        <f t="shared" ref="M13:M14" si="7">AVERAGE(J13:L13)</f>
        <v>3.666666667</v>
      </c>
      <c r="N13" s="2">
        <v>34.0</v>
      </c>
      <c r="O13" s="2">
        <v>30.0</v>
      </c>
      <c r="P13" s="2">
        <v>32.0</v>
      </c>
      <c r="Q13" s="93">
        <f t="shared" ref="Q13:Q16" si="8">AVERAGE(N13:P13)</f>
        <v>32</v>
      </c>
      <c r="R13" s="94">
        <v>6.0</v>
      </c>
      <c r="S13" s="2">
        <v>6.0</v>
      </c>
      <c r="T13" s="2">
        <v>11.0</v>
      </c>
      <c r="U13" s="95">
        <f t="shared" ref="U13:U14" si="9">AVERAGE(R13:T13)</f>
        <v>7.666666667</v>
      </c>
      <c r="V13" s="2">
        <v>23.0</v>
      </c>
      <c r="W13" s="2">
        <v>22.0</v>
      </c>
      <c r="X13" s="2">
        <v>23.0</v>
      </c>
      <c r="Y13" s="95">
        <f t="shared" ref="Y13:Y16" si="10">AVERAGE(V13:X13)</f>
        <v>22.66666667</v>
      </c>
    </row>
    <row r="14">
      <c r="A14" s="90" t="s">
        <v>27</v>
      </c>
      <c r="B14" s="94"/>
      <c r="E14" s="95"/>
      <c r="F14" s="94">
        <v>4.0</v>
      </c>
      <c r="G14" s="2">
        <v>4.0</v>
      </c>
      <c r="H14" s="2">
        <v>5.0</v>
      </c>
      <c r="I14" s="95">
        <f t="shared" si="6"/>
        <v>4.333333333</v>
      </c>
      <c r="J14" s="94">
        <v>7.0</v>
      </c>
      <c r="K14" s="2">
        <v>9.0</v>
      </c>
      <c r="L14" s="2">
        <v>8.0</v>
      </c>
      <c r="M14" s="95">
        <f t="shared" si="7"/>
        <v>8</v>
      </c>
      <c r="N14" s="2">
        <v>29.0</v>
      </c>
      <c r="O14" s="2">
        <v>28.0</v>
      </c>
      <c r="P14" s="2">
        <v>26.0</v>
      </c>
      <c r="Q14" s="93">
        <f t="shared" si="8"/>
        <v>27.66666667</v>
      </c>
      <c r="R14" s="94">
        <v>9.0</v>
      </c>
      <c r="S14" s="2">
        <v>11.0</v>
      </c>
      <c r="T14" s="2">
        <v>8.0</v>
      </c>
      <c r="U14" s="95">
        <f t="shared" si="9"/>
        <v>9.333333333</v>
      </c>
      <c r="V14" s="2">
        <v>13.0</v>
      </c>
      <c r="W14" s="2">
        <v>17.0</v>
      </c>
      <c r="X14" s="2">
        <v>19.0</v>
      </c>
      <c r="Y14" s="95">
        <f t="shared" si="10"/>
        <v>16.33333333</v>
      </c>
    </row>
    <row r="15">
      <c r="A15" s="90" t="s">
        <v>68</v>
      </c>
      <c r="B15" s="94">
        <v>2.0</v>
      </c>
      <c r="C15" s="2">
        <v>1.0</v>
      </c>
      <c r="D15" s="2">
        <v>2.0</v>
      </c>
      <c r="E15" s="95">
        <f t="shared" ref="E15:E16" si="11">AVERAGE(B15:D15)</f>
        <v>1.666666667</v>
      </c>
      <c r="F15" s="94"/>
      <c r="I15" s="95"/>
      <c r="J15" s="94"/>
      <c r="M15" s="95"/>
      <c r="N15" s="2">
        <v>2.0</v>
      </c>
      <c r="O15" s="2">
        <v>1.0</v>
      </c>
      <c r="P15" s="2">
        <v>2.0</v>
      </c>
      <c r="Q15" s="93">
        <f t="shared" si="8"/>
        <v>1.666666667</v>
      </c>
      <c r="R15" s="94">
        <v>0.0</v>
      </c>
      <c r="S15" s="2">
        <v>0.0</v>
      </c>
      <c r="T15" s="2">
        <v>1.0</v>
      </c>
      <c r="U15" s="95"/>
      <c r="V15" s="2">
        <v>1.0</v>
      </c>
      <c r="W15" s="2">
        <v>1.0</v>
      </c>
      <c r="X15" s="2">
        <v>0.0</v>
      </c>
      <c r="Y15" s="95">
        <f t="shared" si="10"/>
        <v>0.6666666667</v>
      </c>
    </row>
    <row r="16">
      <c r="A16" s="90" t="s">
        <v>30</v>
      </c>
      <c r="B16" s="94">
        <v>16.0</v>
      </c>
      <c r="C16" s="2">
        <v>15.0</v>
      </c>
      <c r="D16" s="2">
        <v>11.0</v>
      </c>
      <c r="E16" s="95">
        <f t="shared" si="11"/>
        <v>14</v>
      </c>
      <c r="F16" s="94">
        <v>2.0</v>
      </c>
      <c r="G16" s="2">
        <v>4.0</v>
      </c>
      <c r="H16" s="2">
        <v>2.0</v>
      </c>
      <c r="I16" s="95">
        <f>AVERAGE(F16:H16)</f>
        <v>2.666666667</v>
      </c>
      <c r="J16" s="94">
        <v>8.0</v>
      </c>
      <c r="K16" s="2">
        <v>9.0</v>
      </c>
      <c r="L16" s="2">
        <v>19.0</v>
      </c>
      <c r="M16" s="95">
        <f>AVERAGE(J16:L16)</f>
        <v>12</v>
      </c>
      <c r="N16" s="2">
        <v>0.0</v>
      </c>
      <c r="O16" s="2">
        <v>1.0</v>
      </c>
      <c r="P16" s="2">
        <v>0.0</v>
      </c>
      <c r="Q16" s="93">
        <f t="shared" si="8"/>
        <v>0.3333333333</v>
      </c>
      <c r="R16" s="99"/>
      <c r="U16" s="100"/>
      <c r="V16" s="2">
        <v>3.0</v>
      </c>
      <c r="W16" s="2">
        <v>2.0</v>
      </c>
      <c r="X16" s="2">
        <v>0.0</v>
      </c>
      <c r="Y16" s="95">
        <f t="shared" si="10"/>
        <v>1.666666667</v>
      </c>
    </row>
    <row r="17">
      <c r="A17" s="101" t="s">
        <v>74</v>
      </c>
      <c r="B17" s="111"/>
      <c r="C17" s="105"/>
      <c r="D17" s="105"/>
      <c r="E17" s="110"/>
      <c r="F17" s="105"/>
      <c r="G17" s="105"/>
      <c r="H17" s="105"/>
      <c r="I17" s="106"/>
      <c r="J17" s="107"/>
      <c r="K17" s="108"/>
      <c r="L17" s="108"/>
      <c r="M17" s="109"/>
      <c r="N17" s="108"/>
      <c r="O17" s="108"/>
      <c r="P17" s="108"/>
      <c r="Q17" s="108"/>
      <c r="R17" s="107"/>
      <c r="S17" s="108"/>
      <c r="T17" s="108"/>
      <c r="U17" s="109"/>
      <c r="V17" s="105"/>
      <c r="W17" s="105"/>
      <c r="X17" s="105"/>
      <c r="Y17" s="110"/>
    </row>
    <row r="21">
      <c r="A21" s="5" t="s">
        <v>75</v>
      </c>
    </row>
    <row r="22">
      <c r="A22" s="2" t="s">
        <v>70</v>
      </c>
    </row>
    <row r="23">
      <c r="A23" s="112" t="s">
        <v>62</v>
      </c>
      <c r="B23" s="85" t="s">
        <v>27</v>
      </c>
      <c r="C23" s="85" t="s">
        <v>28</v>
      </c>
      <c r="D23" s="85" t="s">
        <v>29</v>
      </c>
      <c r="E23" s="85" t="s">
        <v>30</v>
      </c>
      <c r="F23" s="85" t="s">
        <v>31</v>
      </c>
      <c r="G23" s="113" t="s">
        <v>32</v>
      </c>
      <c r="I23" s="19"/>
      <c r="K23" s="114" t="s">
        <v>76</v>
      </c>
      <c r="L23" s="86"/>
      <c r="M23" s="86"/>
      <c r="N23" s="86"/>
      <c r="O23" s="86"/>
    </row>
    <row r="24">
      <c r="A24" s="115" t="s">
        <v>36</v>
      </c>
      <c r="B24" s="116" t="s">
        <v>72</v>
      </c>
      <c r="C24" s="116" t="s">
        <v>72</v>
      </c>
      <c r="D24" s="116" t="s">
        <v>72</v>
      </c>
      <c r="E24" s="116" t="s">
        <v>72</v>
      </c>
      <c r="F24" s="116" t="s">
        <v>72</v>
      </c>
      <c r="G24" s="116" t="s">
        <v>72</v>
      </c>
      <c r="I24" s="50"/>
      <c r="J24" s="117" t="s">
        <v>77</v>
      </c>
      <c r="K24" s="21" t="s">
        <v>36</v>
      </c>
      <c r="L24" s="22" t="s">
        <v>78</v>
      </c>
      <c r="M24" s="22" t="s">
        <v>79</v>
      </c>
      <c r="N24" s="22" t="s">
        <v>80</v>
      </c>
      <c r="O24" s="23" t="s">
        <v>81</v>
      </c>
    </row>
    <row r="25">
      <c r="A25" s="25" t="s">
        <v>2</v>
      </c>
      <c r="B25" s="118">
        <v>4.66666666666667</v>
      </c>
      <c r="C25" s="118">
        <v>0.666666666666667</v>
      </c>
      <c r="D25" s="118"/>
      <c r="E25" s="118">
        <v>10.0</v>
      </c>
      <c r="F25" s="118">
        <v>0.666666666666667</v>
      </c>
      <c r="G25" s="118">
        <v>5.66666666666667</v>
      </c>
      <c r="I25" s="119"/>
      <c r="J25" s="3">
        <v>33.0</v>
      </c>
      <c r="K25" s="25" t="s">
        <v>2</v>
      </c>
      <c r="L25" s="120">
        <f t="shared" ref="L25:L44" si="12">SUM(B25,C25,D25,E25,F25,G25)/6</f>
        <v>3.611111111</v>
      </c>
      <c r="M25" s="121">
        <f t="shared" ref="M25:M44" si="13">L25/J25</f>
        <v>0.1094276094</v>
      </c>
      <c r="N25" s="122">
        <f t="shared" ref="N25:N28" si="14">SUM(B47,C47,D47,E47,F47,G47,)/6</f>
        <v>0.8888888889</v>
      </c>
      <c r="O25" s="123">
        <f t="shared" ref="O25:O44" si="15">N25/J25</f>
        <v>0.02693602694</v>
      </c>
    </row>
    <row r="26">
      <c r="A26" s="25" t="s">
        <v>15</v>
      </c>
      <c r="B26" s="124">
        <v>2.66666666666667</v>
      </c>
      <c r="C26" s="124">
        <v>3.66666666666667</v>
      </c>
      <c r="D26" s="124">
        <v>0.666666666666667</v>
      </c>
      <c r="E26" s="124">
        <v>11.0</v>
      </c>
      <c r="F26" s="124">
        <v>3.66666666666667</v>
      </c>
      <c r="G26" s="124">
        <v>5.66666666666667</v>
      </c>
      <c r="I26" s="119"/>
      <c r="J26" s="3">
        <v>9.0</v>
      </c>
      <c r="K26" s="25" t="s">
        <v>15</v>
      </c>
      <c r="L26" s="120">
        <f t="shared" si="12"/>
        <v>4.555555556</v>
      </c>
      <c r="M26" s="121">
        <f t="shared" si="13"/>
        <v>0.5061728395</v>
      </c>
      <c r="N26" s="122">
        <f t="shared" si="14"/>
        <v>1.5</v>
      </c>
      <c r="O26" s="123">
        <f t="shared" si="15"/>
        <v>0.1666666667</v>
      </c>
    </row>
    <row r="27">
      <c r="A27" s="25" t="s">
        <v>12</v>
      </c>
      <c r="B27" s="124">
        <v>7.0</v>
      </c>
      <c r="C27" s="124">
        <v>2.33333333333333</v>
      </c>
      <c r="D27" s="124">
        <v>2.66666666666667</v>
      </c>
      <c r="E27" s="124">
        <v>7.33333333333333</v>
      </c>
      <c r="F27" s="124">
        <v>2.66666666666667</v>
      </c>
      <c r="G27" s="124">
        <v>4.33333333333333</v>
      </c>
      <c r="I27" s="119"/>
      <c r="J27" s="3">
        <v>15.0</v>
      </c>
      <c r="K27" s="25" t="s">
        <v>12</v>
      </c>
      <c r="L27" s="120">
        <f t="shared" si="12"/>
        <v>4.388888889</v>
      </c>
      <c r="M27" s="121">
        <f t="shared" si="13"/>
        <v>0.2925925926</v>
      </c>
      <c r="N27" s="122">
        <f t="shared" si="14"/>
        <v>0.6111111111</v>
      </c>
      <c r="O27" s="123">
        <f t="shared" si="15"/>
        <v>0.04074074074</v>
      </c>
    </row>
    <row r="28">
      <c r="A28" s="25" t="s">
        <v>11</v>
      </c>
      <c r="B28" s="124">
        <v>11.6666666666667</v>
      </c>
      <c r="C28" s="124">
        <v>4.0</v>
      </c>
      <c r="D28" s="124">
        <v>1.66666666666667</v>
      </c>
      <c r="E28" s="124">
        <v>5.0</v>
      </c>
      <c r="F28" s="124">
        <v>0.333333333333333</v>
      </c>
      <c r="G28" s="124">
        <v>3.33333333333333</v>
      </c>
      <c r="I28" s="119"/>
      <c r="J28" s="3">
        <v>19.0</v>
      </c>
      <c r="K28" s="25" t="s">
        <v>11</v>
      </c>
      <c r="L28" s="120">
        <f t="shared" si="12"/>
        <v>4.333333333</v>
      </c>
      <c r="M28" s="121">
        <f t="shared" si="13"/>
        <v>0.2280701754</v>
      </c>
      <c r="N28" s="122">
        <f t="shared" si="14"/>
        <v>1.222222222</v>
      </c>
      <c r="O28" s="123">
        <f t="shared" si="15"/>
        <v>0.06432748538</v>
      </c>
    </row>
    <row r="29">
      <c r="A29" s="25" t="s">
        <v>20</v>
      </c>
      <c r="B29" s="124">
        <v>1.0</v>
      </c>
      <c r="C29" s="124"/>
      <c r="D29" s="124">
        <v>0.666666666666667</v>
      </c>
      <c r="E29" s="124">
        <v>1.0</v>
      </c>
      <c r="F29" s="124">
        <v>0.333333333333333</v>
      </c>
      <c r="G29" s="124"/>
      <c r="I29" s="119"/>
      <c r="J29" s="3">
        <v>3.0</v>
      </c>
      <c r="K29" s="25" t="s">
        <v>20</v>
      </c>
      <c r="L29" s="120">
        <f t="shared" si="12"/>
        <v>0.5</v>
      </c>
      <c r="M29" s="121">
        <f t="shared" si="13"/>
        <v>0.1666666667</v>
      </c>
      <c r="N29" s="122">
        <f t="shared" ref="N29:N30" si="16">SUM(B52,C51,D52,E53,F55,G51,)/6</f>
        <v>1</v>
      </c>
      <c r="O29" s="123">
        <f t="shared" si="15"/>
        <v>0.3333333333</v>
      </c>
    </row>
    <row r="30">
      <c r="A30" s="25" t="s">
        <v>17</v>
      </c>
      <c r="B30" s="124">
        <v>3.66666666666667</v>
      </c>
      <c r="C30" s="124">
        <v>1.0</v>
      </c>
      <c r="D30" s="124"/>
      <c r="E30" s="124">
        <v>6.33333333333333</v>
      </c>
      <c r="F30" s="124">
        <v>2.0</v>
      </c>
      <c r="G30" s="124">
        <v>5.33333333333333</v>
      </c>
      <c r="I30" s="119"/>
      <c r="J30" s="3">
        <v>7.0</v>
      </c>
      <c r="K30" s="25" t="s">
        <v>17</v>
      </c>
      <c r="L30" s="120">
        <f t="shared" si="12"/>
        <v>3.055555556</v>
      </c>
      <c r="M30" s="121">
        <f t="shared" si="13"/>
        <v>0.4365079365</v>
      </c>
      <c r="N30" s="122">
        <f t="shared" si="16"/>
        <v>1.888888889</v>
      </c>
      <c r="O30" s="123">
        <f t="shared" si="15"/>
        <v>0.2698412698</v>
      </c>
    </row>
    <row r="31">
      <c r="A31" s="25" t="s">
        <v>10</v>
      </c>
      <c r="B31" s="124">
        <v>11.6666666666667</v>
      </c>
      <c r="C31" s="124">
        <v>2.66666666666667</v>
      </c>
      <c r="D31" s="124">
        <v>2.33333333333333</v>
      </c>
      <c r="E31" s="124">
        <v>14.0</v>
      </c>
      <c r="F31" s="124">
        <v>0.333333333333333</v>
      </c>
      <c r="G31" s="124">
        <v>9.33333333333333</v>
      </c>
      <c r="I31" s="119"/>
      <c r="J31" s="3">
        <v>20.0</v>
      </c>
      <c r="K31" s="25" t="s">
        <v>10</v>
      </c>
      <c r="L31" s="120">
        <f t="shared" si="12"/>
        <v>6.722222222</v>
      </c>
      <c r="M31" s="121">
        <f t="shared" si="13"/>
        <v>0.3361111111</v>
      </c>
      <c r="N31" s="122">
        <f>SUM(B54,C53,D54,E55,F58,G53,)/6</f>
        <v>1.444444444</v>
      </c>
      <c r="O31" s="123">
        <f t="shared" si="15"/>
        <v>0.07222222222</v>
      </c>
    </row>
    <row r="32">
      <c r="A32" s="25" t="s">
        <v>5</v>
      </c>
      <c r="B32" s="124">
        <v>6.66666666666667</v>
      </c>
      <c r="C32" s="124">
        <v>2.66666666666667</v>
      </c>
      <c r="D32" s="124">
        <v>1.33333333333333</v>
      </c>
      <c r="E32" s="124">
        <v>7.66666666666667</v>
      </c>
      <c r="F32" s="124">
        <v>1.0</v>
      </c>
      <c r="G32" s="124">
        <v>4.0</v>
      </c>
      <c r="I32" s="119"/>
      <c r="J32" s="3">
        <v>27.0</v>
      </c>
      <c r="K32" s="25" t="s">
        <v>5</v>
      </c>
      <c r="L32" s="120">
        <f t="shared" si="12"/>
        <v>3.888888889</v>
      </c>
      <c r="M32" s="121">
        <f t="shared" si="13"/>
        <v>0.1440329218</v>
      </c>
      <c r="N32" s="122">
        <f>SUM(B55,C54,D55,E56,F60,G54,)/6</f>
        <v>2.166666667</v>
      </c>
      <c r="O32" s="123">
        <f t="shared" si="15"/>
        <v>0.08024691358</v>
      </c>
    </row>
    <row r="33">
      <c r="A33" s="25" t="s">
        <v>82</v>
      </c>
      <c r="B33" s="124"/>
      <c r="C33" s="124"/>
      <c r="D33" s="124"/>
      <c r="E33" s="124"/>
      <c r="F33" s="124"/>
      <c r="G33" s="124"/>
      <c r="I33" s="119"/>
      <c r="J33" s="3">
        <v>1.0</v>
      </c>
      <c r="K33" s="25" t="s">
        <v>22</v>
      </c>
      <c r="L33" s="120">
        <f t="shared" si="12"/>
        <v>0</v>
      </c>
      <c r="M33" s="121">
        <f t="shared" si="13"/>
        <v>0</v>
      </c>
      <c r="N33" s="122" t="str">
        <f>SUM(#REF!,#REF!,#REF!,#REF!,#REF!,#REF!,)/6</f>
        <v>#REF!</v>
      </c>
      <c r="O33" s="123" t="str">
        <f t="shared" si="15"/>
        <v>#REF!</v>
      </c>
    </row>
    <row r="34">
      <c r="A34" s="25" t="s">
        <v>7</v>
      </c>
      <c r="B34" s="124">
        <v>2.0</v>
      </c>
      <c r="C34" s="124">
        <v>1.33333333333333</v>
      </c>
      <c r="D34" s="124">
        <v>0.666666666666667</v>
      </c>
      <c r="E34" s="124">
        <v>11.6666666666667</v>
      </c>
      <c r="F34" s="124">
        <v>0.666666666666667</v>
      </c>
      <c r="G34" s="124">
        <v>6.33333333333333</v>
      </c>
      <c r="I34" s="119"/>
      <c r="J34" s="3">
        <v>25.0</v>
      </c>
      <c r="K34" s="25" t="s">
        <v>7</v>
      </c>
      <c r="L34" s="120">
        <f t="shared" si="12"/>
        <v>3.777777778</v>
      </c>
      <c r="M34" s="121">
        <f t="shared" si="13"/>
        <v>0.1511111111</v>
      </c>
      <c r="N34" s="122">
        <f>SUM(B58,C56,D57,E58,F63,G56,)/6</f>
        <v>2.666666667</v>
      </c>
      <c r="O34" s="123">
        <f t="shared" si="15"/>
        <v>0.1066666667</v>
      </c>
    </row>
    <row r="35">
      <c r="A35" s="25" t="s">
        <v>6</v>
      </c>
      <c r="B35" s="124">
        <v>3.66666666666667</v>
      </c>
      <c r="C35" s="124">
        <v>0.666666666666667</v>
      </c>
      <c r="D35" s="124">
        <v>1.66666666666667</v>
      </c>
      <c r="E35" s="124">
        <v>10.6666666666667</v>
      </c>
      <c r="F35" s="124">
        <v>1.0</v>
      </c>
      <c r="G35" s="124">
        <v>7.0</v>
      </c>
      <c r="I35" s="119"/>
      <c r="J35" s="3">
        <v>27.0</v>
      </c>
      <c r="K35" s="25" t="s">
        <v>6</v>
      </c>
      <c r="L35" s="120">
        <f t="shared" si="12"/>
        <v>4.111111111</v>
      </c>
      <c r="M35" s="121">
        <f t="shared" si="13"/>
        <v>0.1522633745</v>
      </c>
      <c r="N35" s="122">
        <f>SUM(B59,C58,D58,E59,F64,G57,)/6</f>
        <v>1.333333333</v>
      </c>
      <c r="O35" s="123">
        <f t="shared" si="15"/>
        <v>0.04938271605</v>
      </c>
    </row>
    <row r="36">
      <c r="A36" s="25" t="s">
        <v>8</v>
      </c>
      <c r="B36" s="124">
        <v>4.33333333333333</v>
      </c>
      <c r="C36" s="124">
        <v>16.3333333333333</v>
      </c>
      <c r="D36" s="124">
        <v>14.3333333333333</v>
      </c>
      <c r="E36" s="124">
        <v>27.3333333333333</v>
      </c>
      <c r="F36" s="124">
        <v>10.3333333333333</v>
      </c>
      <c r="G36" s="124">
        <v>13.3333333333333</v>
      </c>
      <c r="I36" s="119"/>
      <c r="J36" s="3">
        <v>25.0</v>
      </c>
      <c r="K36" s="25" t="s">
        <v>8</v>
      </c>
      <c r="L36" s="120">
        <f t="shared" si="12"/>
        <v>14.33333333</v>
      </c>
      <c r="M36" s="121">
        <f t="shared" si="13"/>
        <v>0.5733333333</v>
      </c>
      <c r="N36" s="122" t="str">
        <f>SUM(B60,#REF!,D60,E60,F65,G58,)/6</f>
        <v>#REF!</v>
      </c>
      <c r="O36" s="123" t="str">
        <f t="shared" si="15"/>
        <v>#REF!</v>
      </c>
    </row>
    <row r="37">
      <c r="A37" s="25" t="s">
        <v>19</v>
      </c>
      <c r="B37" s="124">
        <v>1.33333333333333</v>
      </c>
      <c r="C37" s="124"/>
      <c r="D37" s="124">
        <v>0.333333333333333</v>
      </c>
      <c r="E37" s="124">
        <v>2.33333333333333</v>
      </c>
      <c r="F37" s="124">
        <v>0.666666666666667</v>
      </c>
      <c r="G37" s="124">
        <v>0.666666666666667</v>
      </c>
      <c r="I37" s="119"/>
      <c r="J37" s="3">
        <v>4.0</v>
      </c>
      <c r="K37" s="25" t="s">
        <v>19</v>
      </c>
      <c r="L37" s="120">
        <f t="shared" si="12"/>
        <v>0.8888888889</v>
      </c>
      <c r="M37" s="121">
        <f t="shared" si="13"/>
        <v>0.2222222222</v>
      </c>
      <c r="N37" s="122">
        <f>SUM(B61,C59,D61,E61,F66,G59,)/6</f>
        <v>1.166666667</v>
      </c>
      <c r="O37" s="123">
        <f t="shared" si="15"/>
        <v>0.2916666667</v>
      </c>
    </row>
    <row r="38">
      <c r="A38" s="25" t="s">
        <v>13</v>
      </c>
      <c r="B38" s="124">
        <v>1.0</v>
      </c>
      <c r="C38" s="124">
        <v>1.0</v>
      </c>
      <c r="D38" s="124">
        <v>1.0</v>
      </c>
      <c r="E38" s="124">
        <v>6.0</v>
      </c>
      <c r="F38" s="124">
        <v>1.33333333333333</v>
      </c>
      <c r="G38" s="124">
        <v>4.0</v>
      </c>
      <c r="I38" s="119"/>
      <c r="J38" s="3">
        <v>10.0</v>
      </c>
      <c r="K38" s="25" t="s">
        <v>13</v>
      </c>
      <c r="L38" s="120">
        <f t="shared" si="12"/>
        <v>2.388888889</v>
      </c>
      <c r="M38" s="121">
        <f t="shared" si="13"/>
        <v>0.2388888889</v>
      </c>
      <c r="N38" s="122" t="str">
        <f t="shared" ref="N38:N39" si="17">SUM(B62,C60,D62,E62,#REF!,G60,)/6</f>
        <v>#REF!</v>
      </c>
      <c r="O38" s="123" t="str">
        <f t="shared" si="15"/>
        <v>#REF!</v>
      </c>
    </row>
    <row r="39">
      <c r="A39" s="25" t="s">
        <v>14</v>
      </c>
      <c r="B39" s="124">
        <v>3.66666666666667</v>
      </c>
      <c r="C39" s="124">
        <v>1.0</v>
      </c>
      <c r="D39" s="124"/>
      <c r="E39" s="124">
        <v>10.3333333333333</v>
      </c>
      <c r="F39" s="124"/>
      <c r="G39" s="124">
        <v>12.3333333333333</v>
      </c>
      <c r="I39" s="119"/>
      <c r="J39" s="3">
        <v>10.0</v>
      </c>
      <c r="K39" s="25" t="s">
        <v>14</v>
      </c>
      <c r="L39" s="120">
        <f t="shared" si="12"/>
        <v>4.555555556</v>
      </c>
      <c r="M39" s="121">
        <f t="shared" si="13"/>
        <v>0.4555555556</v>
      </c>
      <c r="N39" s="122" t="str">
        <f t="shared" si="17"/>
        <v>#REF!</v>
      </c>
      <c r="O39" s="123" t="str">
        <f t="shared" si="15"/>
        <v>#REF!</v>
      </c>
    </row>
    <row r="40">
      <c r="A40" s="25" t="s">
        <v>9</v>
      </c>
      <c r="B40" s="124">
        <v>4.66666666666667</v>
      </c>
      <c r="C40" s="124">
        <v>3.66666666666667</v>
      </c>
      <c r="D40" s="124">
        <v>7.0</v>
      </c>
      <c r="E40" s="124">
        <v>9.0</v>
      </c>
      <c r="F40" s="124">
        <v>4.0</v>
      </c>
      <c r="G40" s="124">
        <v>8.0</v>
      </c>
      <c r="I40" s="119"/>
      <c r="J40" s="3">
        <v>23.0</v>
      </c>
      <c r="K40" s="25" t="s">
        <v>9</v>
      </c>
      <c r="L40" s="120">
        <f t="shared" si="12"/>
        <v>6.055555556</v>
      </c>
      <c r="M40" s="121">
        <f t="shared" si="13"/>
        <v>0.2632850242</v>
      </c>
      <c r="N40" s="122" t="str">
        <f t="shared" ref="N40:N41" si="18">SUM(B65,C62,D64,E64,#REF!,G62,)/6</f>
        <v>#REF!</v>
      </c>
      <c r="O40" s="123" t="str">
        <f t="shared" si="15"/>
        <v>#REF!</v>
      </c>
    </row>
    <row r="41">
      <c r="A41" s="25" t="s">
        <v>4</v>
      </c>
      <c r="B41" s="124">
        <v>10.0</v>
      </c>
      <c r="C41" s="124">
        <v>5.66666666666667</v>
      </c>
      <c r="D41" s="124">
        <v>11.3333333333333</v>
      </c>
      <c r="E41" s="124">
        <v>10.6666666666667</v>
      </c>
      <c r="F41" s="124">
        <v>3.66666666666667</v>
      </c>
      <c r="G41" s="124">
        <v>8.66666666666667</v>
      </c>
      <c r="I41" s="119"/>
      <c r="J41" s="3">
        <v>28.0</v>
      </c>
      <c r="K41" s="25" t="s">
        <v>4</v>
      </c>
      <c r="L41" s="120">
        <f t="shared" si="12"/>
        <v>8.333333333</v>
      </c>
      <c r="M41" s="121">
        <f t="shared" si="13"/>
        <v>0.2976190476</v>
      </c>
      <c r="N41" s="122" t="str">
        <f t="shared" si="18"/>
        <v>#REF!</v>
      </c>
      <c r="O41" s="123" t="str">
        <f t="shared" si="15"/>
        <v>#REF!</v>
      </c>
    </row>
    <row r="42">
      <c r="A42" s="25" t="s">
        <v>21</v>
      </c>
      <c r="B42" s="124"/>
      <c r="C42" s="124">
        <v>0.333333333333333</v>
      </c>
      <c r="D42" s="124"/>
      <c r="E42" s="124">
        <v>1.33333333333333</v>
      </c>
      <c r="F42" s="124">
        <v>0.333333333333333</v>
      </c>
      <c r="G42" s="124"/>
      <c r="I42" s="119"/>
      <c r="J42" s="3">
        <v>3.0</v>
      </c>
      <c r="K42" s="25" t="s">
        <v>21</v>
      </c>
      <c r="L42" s="120">
        <f t="shared" si="12"/>
        <v>0.3333333333</v>
      </c>
      <c r="M42" s="121">
        <f t="shared" si="13"/>
        <v>0.1111111111</v>
      </c>
      <c r="N42" s="122" t="str">
        <f>SUM(#REF!,C64,D66,E66,#REF!,G64,)/6</f>
        <v>#REF!</v>
      </c>
      <c r="O42" s="123" t="str">
        <f t="shared" si="15"/>
        <v>#REF!</v>
      </c>
    </row>
    <row r="43">
      <c r="A43" s="25" t="s">
        <v>16</v>
      </c>
      <c r="B43" s="124">
        <v>2.66666666666667</v>
      </c>
      <c r="C43" s="124">
        <v>1.33333333333333</v>
      </c>
      <c r="D43" s="124">
        <v>5.66666666666667</v>
      </c>
      <c r="E43" s="124">
        <v>6.33333333333333</v>
      </c>
      <c r="F43" s="48">
        <v>2.0</v>
      </c>
      <c r="G43" s="124">
        <v>3.33333333333333</v>
      </c>
      <c r="I43" s="119"/>
      <c r="J43" s="3">
        <v>9.0</v>
      </c>
      <c r="K43" s="25" t="s">
        <v>16</v>
      </c>
      <c r="L43" s="120">
        <f t="shared" si="12"/>
        <v>3.555555556</v>
      </c>
      <c r="M43" s="121">
        <f t="shared" si="13"/>
        <v>0.3950617284</v>
      </c>
      <c r="N43" s="122" t="str">
        <f t="shared" ref="N43:N44" si="19">SUM(#REF!,C65,#REF!,#REF!,#REF!,G65,)/6</f>
        <v>#REF!</v>
      </c>
      <c r="O43" s="123" t="str">
        <f t="shared" si="15"/>
        <v>#REF!</v>
      </c>
    </row>
    <row r="44">
      <c r="A44" s="25" t="s">
        <v>3</v>
      </c>
      <c r="B44" s="124">
        <v>3.0</v>
      </c>
      <c r="C44" s="124">
        <v>1.0</v>
      </c>
      <c r="D44" s="124">
        <v>0.666666666666667</v>
      </c>
      <c r="E44" s="124">
        <v>11.0</v>
      </c>
      <c r="F44" s="124">
        <v>0.666666666666667</v>
      </c>
      <c r="G44" s="124">
        <v>4.0</v>
      </c>
      <c r="I44" s="119"/>
      <c r="J44" s="3">
        <v>29.0</v>
      </c>
      <c r="K44" s="25" t="s">
        <v>3</v>
      </c>
      <c r="L44" s="120">
        <f t="shared" si="12"/>
        <v>3.388888889</v>
      </c>
      <c r="M44" s="121">
        <f t="shared" si="13"/>
        <v>0.1168582375</v>
      </c>
      <c r="N44" s="122" t="str">
        <f t="shared" si="19"/>
        <v>#REF!</v>
      </c>
      <c r="O44" s="123" t="str">
        <f t="shared" si="15"/>
        <v>#REF!</v>
      </c>
    </row>
    <row r="45">
      <c r="A45" s="112" t="s">
        <v>65</v>
      </c>
      <c r="B45" s="85" t="s">
        <v>27</v>
      </c>
      <c r="C45" s="85" t="s">
        <v>28</v>
      </c>
      <c r="D45" s="85" t="s">
        <v>29</v>
      </c>
      <c r="E45" s="85" t="s">
        <v>30</v>
      </c>
      <c r="F45" s="85" t="s">
        <v>31</v>
      </c>
      <c r="G45" s="113" t="s">
        <v>32</v>
      </c>
      <c r="H45" s="19"/>
      <c r="I45" s="19"/>
      <c r="L45" s="45"/>
      <c r="M45" s="121"/>
      <c r="N45" s="125"/>
      <c r="O45" s="123"/>
    </row>
    <row r="46">
      <c r="A46" s="115" t="s">
        <v>36</v>
      </c>
      <c r="B46" s="116" t="s">
        <v>72</v>
      </c>
      <c r="C46" s="116" t="s">
        <v>72</v>
      </c>
      <c r="D46" s="116" t="s">
        <v>72</v>
      </c>
      <c r="E46" s="116" t="s">
        <v>72</v>
      </c>
      <c r="F46" s="116" t="s">
        <v>72</v>
      </c>
      <c r="G46" s="116" t="s">
        <v>72</v>
      </c>
      <c r="H46" s="50"/>
      <c r="I46" s="50"/>
      <c r="J46" s="50"/>
      <c r="K46" s="50"/>
      <c r="L46" s="50"/>
      <c r="M46" s="50"/>
    </row>
    <row r="47">
      <c r="A47" s="25" t="s">
        <v>2</v>
      </c>
      <c r="B47" s="118">
        <v>1.33333333333333</v>
      </c>
      <c r="C47" s="118"/>
      <c r="D47" s="118">
        <v>1.0</v>
      </c>
      <c r="E47" s="118">
        <v>2.0</v>
      </c>
      <c r="F47" s="118"/>
      <c r="G47" s="118">
        <v>1.0</v>
      </c>
      <c r="H47" s="126"/>
      <c r="I47" s="119"/>
      <c r="J47" s="126"/>
      <c r="K47" s="119"/>
      <c r="L47" s="119"/>
      <c r="M47" s="119"/>
    </row>
    <row r="48">
      <c r="A48" s="25" t="s">
        <v>15</v>
      </c>
      <c r="B48" s="124">
        <v>1.66666666666667</v>
      </c>
      <c r="C48" s="124">
        <v>0.333333333333333</v>
      </c>
      <c r="D48" s="124">
        <v>0.333333333333333</v>
      </c>
      <c r="E48" s="124">
        <v>5.0</v>
      </c>
      <c r="F48" s="124">
        <v>0.666666666666667</v>
      </c>
      <c r="G48" s="124">
        <v>1.0</v>
      </c>
      <c r="H48" s="126"/>
      <c r="I48" s="119"/>
      <c r="J48" s="126"/>
      <c r="K48" s="119"/>
      <c r="L48" s="119"/>
      <c r="M48" s="119"/>
    </row>
    <row r="49">
      <c r="A49" s="25" t="s">
        <v>12</v>
      </c>
      <c r="B49" s="124">
        <v>0.666666666666667</v>
      </c>
      <c r="C49" s="124"/>
      <c r="D49" s="124">
        <v>0.333333333333333</v>
      </c>
      <c r="E49" s="124">
        <v>0.666666666666667</v>
      </c>
      <c r="F49" s="124">
        <v>1.0</v>
      </c>
      <c r="G49" s="124">
        <v>1.0</v>
      </c>
      <c r="H49" s="126"/>
      <c r="I49" s="119"/>
      <c r="J49" s="126"/>
      <c r="K49" s="119"/>
      <c r="L49" s="119"/>
      <c r="M49" s="119"/>
    </row>
    <row r="50">
      <c r="A50" s="25" t="s">
        <v>11</v>
      </c>
      <c r="B50" s="124">
        <v>1.66666666666667</v>
      </c>
      <c r="C50" s="124">
        <v>0.333333333333333</v>
      </c>
      <c r="D50" s="124">
        <v>1.0</v>
      </c>
      <c r="E50" s="124">
        <v>1.66666666666667</v>
      </c>
      <c r="F50" s="124">
        <v>0.666666666666667</v>
      </c>
      <c r="G50" s="124">
        <v>2.0</v>
      </c>
      <c r="H50" s="126"/>
      <c r="I50" s="119"/>
      <c r="J50" s="126"/>
      <c r="K50" s="119"/>
      <c r="L50" s="119"/>
      <c r="M50" s="119"/>
    </row>
    <row r="51">
      <c r="A51" s="25" t="s">
        <v>20</v>
      </c>
      <c r="C51" s="124"/>
      <c r="G51" s="124">
        <v>1.33333333333333</v>
      </c>
      <c r="H51" s="126"/>
      <c r="I51" s="119"/>
      <c r="J51" s="126"/>
      <c r="K51" s="119"/>
      <c r="L51" s="119"/>
      <c r="M51" s="119"/>
    </row>
    <row r="52">
      <c r="A52" s="25" t="s">
        <v>17</v>
      </c>
      <c r="B52" s="124">
        <v>0.333333333333333</v>
      </c>
      <c r="C52" s="124">
        <v>0.333333333333333</v>
      </c>
      <c r="D52" s="124">
        <v>0.333333333333333</v>
      </c>
      <c r="E52" s="2">
        <v>1.33333333333333</v>
      </c>
      <c r="G52" s="124">
        <v>1.0</v>
      </c>
      <c r="H52" s="119"/>
      <c r="I52" s="119"/>
      <c r="J52" s="119"/>
      <c r="K52" s="119"/>
      <c r="L52" s="119"/>
      <c r="M52" s="119"/>
    </row>
    <row r="53">
      <c r="A53" s="25" t="s">
        <v>10</v>
      </c>
      <c r="B53" s="124">
        <v>3.0</v>
      </c>
      <c r="C53" s="124">
        <v>0.666666666666667</v>
      </c>
      <c r="D53" s="124">
        <v>3.0</v>
      </c>
      <c r="E53" s="124">
        <v>3.33333333333333</v>
      </c>
      <c r="G53" s="124">
        <v>2.0</v>
      </c>
      <c r="H53" s="126"/>
      <c r="I53" s="119"/>
      <c r="J53" s="126"/>
      <c r="K53" s="119"/>
      <c r="L53" s="119"/>
      <c r="M53" s="119"/>
    </row>
    <row r="54">
      <c r="A54" s="25" t="s">
        <v>5</v>
      </c>
      <c r="B54" s="124">
        <v>1.33333333333333</v>
      </c>
      <c r="C54" s="124">
        <v>0.666666666666667</v>
      </c>
      <c r="D54" s="124">
        <v>1.0</v>
      </c>
      <c r="E54" s="124">
        <v>3.33333333333333</v>
      </c>
      <c r="G54" s="124">
        <v>1.66666666666667</v>
      </c>
      <c r="H54" s="126"/>
      <c r="I54" s="119"/>
      <c r="J54" s="126"/>
      <c r="K54" s="119"/>
      <c r="L54" s="119"/>
      <c r="M54" s="119"/>
    </row>
    <row r="55">
      <c r="A55" s="25" t="s">
        <v>82</v>
      </c>
      <c r="B55" s="124">
        <v>0.333333333333333</v>
      </c>
      <c r="C55" s="124"/>
      <c r="D55" s="124">
        <v>1.0</v>
      </c>
      <c r="E55" s="124">
        <v>2.66666666666667</v>
      </c>
      <c r="F55" s="124">
        <v>0.666666666666667</v>
      </c>
      <c r="G55" s="124">
        <v>2.33333333333333</v>
      </c>
      <c r="H55" s="126"/>
      <c r="I55" s="119"/>
      <c r="J55" s="126"/>
      <c r="K55" s="119"/>
      <c r="L55" s="119"/>
      <c r="M55" s="119"/>
    </row>
    <row r="56">
      <c r="A56" s="25" t="s">
        <v>7</v>
      </c>
      <c r="C56" s="131">
        <v>0.333333333333333</v>
      </c>
      <c r="D56" s="124">
        <v>0.666666666666667</v>
      </c>
      <c r="E56" s="124">
        <v>7.33333333333333</v>
      </c>
      <c r="F56" s="124">
        <v>0.666666666666667</v>
      </c>
      <c r="G56" s="124">
        <v>5.0</v>
      </c>
      <c r="H56" s="119"/>
      <c r="I56" s="119"/>
      <c r="J56" s="119"/>
      <c r="K56" s="119"/>
      <c r="L56" s="119"/>
      <c r="M56" s="119"/>
    </row>
    <row r="57">
      <c r="A57" s="25" t="s">
        <v>6</v>
      </c>
      <c r="B57" s="124">
        <v>1.0</v>
      </c>
      <c r="D57" s="124">
        <v>0.333333333333333</v>
      </c>
      <c r="E57" s="124">
        <v>2.66666666666667</v>
      </c>
      <c r="G57" s="124">
        <v>2.66666666666667</v>
      </c>
      <c r="H57" s="119"/>
      <c r="I57" s="119"/>
      <c r="J57" s="119"/>
      <c r="K57" s="119"/>
      <c r="L57" s="119"/>
      <c r="M57" s="119"/>
    </row>
    <row r="58">
      <c r="A58" s="25" t="s">
        <v>8</v>
      </c>
      <c r="B58" s="124">
        <v>0.666666666666667</v>
      </c>
      <c r="C58" s="131">
        <v>1.33333333333333</v>
      </c>
      <c r="D58" s="124">
        <v>2.0</v>
      </c>
      <c r="E58" s="124">
        <v>4.33333333333333</v>
      </c>
      <c r="F58" s="124">
        <v>1.0</v>
      </c>
      <c r="G58" s="124">
        <v>2.33333333333333</v>
      </c>
      <c r="H58" s="126"/>
      <c r="I58" s="119"/>
      <c r="J58" s="126"/>
      <c r="K58" s="119"/>
      <c r="L58" s="119"/>
      <c r="M58" s="119"/>
    </row>
    <row r="59">
      <c r="A59" s="25" t="s">
        <v>19</v>
      </c>
      <c r="B59" s="124">
        <v>0.333333333333333</v>
      </c>
      <c r="C59" s="124">
        <v>0.333333333333333</v>
      </c>
      <c r="E59" s="124">
        <v>1.33333333333333</v>
      </c>
      <c r="G59" s="124">
        <v>0.666666666666667</v>
      </c>
      <c r="H59" s="126"/>
      <c r="I59" s="119"/>
      <c r="J59" s="126"/>
      <c r="K59" s="119"/>
      <c r="L59" s="119"/>
      <c r="M59" s="119"/>
    </row>
    <row r="60">
      <c r="A60" s="25" t="s">
        <v>13</v>
      </c>
      <c r="B60" s="124">
        <v>0.666666666666667</v>
      </c>
      <c r="C60" s="124">
        <v>2.66666666666667</v>
      </c>
      <c r="D60" s="124">
        <v>1.0</v>
      </c>
      <c r="E60" s="124">
        <v>4.33333333333333</v>
      </c>
      <c r="F60" s="124">
        <v>2.0</v>
      </c>
      <c r="G60" s="124">
        <v>2.33333333333333</v>
      </c>
      <c r="H60" s="126"/>
      <c r="I60" s="119"/>
      <c r="J60" s="126"/>
      <c r="K60" s="119"/>
      <c r="L60" s="119"/>
      <c r="M60" s="119"/>
    </row>
    <row r="61">
      <c r="A61" s="25" t="s">
        <v>14</v>
      </c>
      <c r="B61" s="124">
        <v>0.666666666666667</v>
      </c>
      <c r="C61" s="124"/>
      <c r="D61" s="124">
        <v>0.666666666666667</v>
      </c>
      <c r="E61" s="124">
        <v>3.66666666666667</v>
      </c>
      <c r="G61" s="124">
        <v>1.33333333333333</v>
      </c>
      <c r="H61" s="126"/>
      <c r="I61" s="119"/>
      <c r="J61" s="126"/>
      <c r="K61" s="119"/>
      <c r="L61" s="119"/>
      <c r="M61" s="119"/>
    </row>
    <row r="62">
      <c r="A62" s="25" t="s">
        <v>9</v>
      </c>
      <c r="B62" s="124">
        <v>0.333333333333333</v>
      </c>
      <c r="C62" s="124">
        <v>1.0</v>
      </c>
      <c r="D62" s="124">
        <v>1.66666666666667</v>
      </c>
      <c r="E62" s="124">
        <v>1.0</v>
      </c>
      <c r="F62" s="124">
        <v>1.0</v>
      </c>
      <c r="G62" s="124">
        <v>0.333333333333333</v>
      </c>
      <c r="H62" s="126"/>
      <c r="I62" s="119"/>
      <c r="J62" s="126"/>
      <c r="K62" s="119"/>
      <c r="L62" s="119"/>
      <c r="M62" s="119"/>
    </row>
    <row r="63">
      <c r="A63" s="25" t="s">
        <v>4</v>
      </c>
      <c r="B63" s="124">
        <v>3.66666666666667</v>
      </c>
      <c r="C63" s="124">
        <v>2.66666666666667</v>
      </c>
      <c r="D63" s="124">
        <v>6.33333333333333</v>
      </c>
      <c r="E63" s="124">
        <v>7.0</v>
      </c>
      <c r="F63" s="124">
        <v>5.33333333333333</v>
      </c>
      <c r="G63" s="124">
        <v>6.66666666666667</v>
      </c>
      <c r="H63" s="126"/>
      <c r="I63" s="119"/>
      <c r="J63" s="126"/>
      <c r="K63" s="119"/>
      <c r="L63" s="119"/>
      <c r="M63" s="119"/>
    </row>
    <row r="64">
      <c r="A64" s="25" t="s">
        <v>21</v>
      </c>
      <c r="C64" s="124">
        <v>1.0</v>
      </c>
      <c r="D64" s="124">
        <v>0.666666666666667</v>
      </c>
      <c r="E64" s="124">
        <v>1.33333333333333</v>
      </c>
      <c r="F64" s="124">
        <v>0.333333333333333</v>
      </c>
      <c r="G64" s="124">
        <v>1.0</v>
      </c>
      <c r="H64" s="126"/>
      <c r="I64" s="119"/>
      <c r="J64" s="126"/>
      <c r="K64" s="119"/>
      <c r="L64" s="119"/>
      <c r="M64" s="119"/>
    </row>
    <row r="65">
      <c r="A65" s="25" t="s">
        <v>16</v>
      </c>
      <c r="B65" s="124">
        <v>0.333333333333333</v>
      </c>
      <c r="C65" s="124">
        <v>1.33333333333333</v>
      </c>
      <c r="D65" s="124">
        <v>2.0</v>
      </c>
      <c r="E65" s="124">
        <v>2.66666666666667</v>
      </c>
      <c r="F65" s="124">
        <v>3.0</v>
      </c>
      <c r="G65" s="124">
        <v>2.66666666666667</v>
      </c>
      <c r="H65" s="126"/>
      <c r="I65" s="119"/>
      <c r="J65" s="126"/>
      <c r="K65" s="119"/>
      <c r="L65" s="119"/>
      <c r="M65" s="119"/>
    </row>
    <row r="66">
      <c r="A66" s="25" t="s">
        <v>3</v>
      </c>
      <c r="B66" s="124">
        <v>1.33333333333333</v>
      </c>
      <c r="C66" s="124"/>
      <c r="D66" s="124">
        <v>0.333333333333333</v>
      </c>
      <c r="E66" s="124">
        <v>6.0</v>
      </c>
      <c r="F66" s="124">
        <v>1.0</v>
      </c>
      <c r="G66" s="124">
        <v>3.0</v>
      </c>
      <c r="H66" s="126"/>
      <c r="I66" s="119"/>
      <c r="J66" s="126"/>
      <c r="K66" s="119"/>
      <c r="L66" s="119"/>
      <c r="M66" s="119"/>
    </row>
  </sheetData>
  <conditionalFormatting sqref="A1 A3:D3 N3:P3 A11:B11 C11:D12 N11:P12 M12 A21 A23:T23 A45:M45">
    <cfRule type="containsText" dxfId="0" priority="1" operator="containsText" text="Match found">
      <formula>NOT(ISERROR(SEARCH(("Match found"),(A1))))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5" t="s">
        <v>69</v>
      </c>
    </row>
    <row r="2">
      <c r="A2" s="2" t="s">
        <v>70</v>
      </c>
    </row>
    <row r="3">
      <c r="A3" s="84" t="s">
        <v>62</v>
      </c>
      <c r="B3" s="85" t="s">
        <v>27</v>
      </c>
      <c r="C3" s="86"/>
      <c r="D3" s="86"/>
      <c r="E3" s="87"/>
      <c r="F3" s="15" t="s">
        <v>28</v>
      </c>
      <c r="G3" s="15"/>
      <c r="H3" s="15"/>
      <c r="I3" s="14"/>
      <c r="J3" s="88" t="s">
        <v>29</v>
      </c>
      <c r="K3" s="15"/>
      <c r="L3" s="15"/>
      <c r="M3" s="87"/>
      <c r="N3" s="86" t="s">
        <v>30</v>
      </c>
      <c r="O3" s="86"/>
      <c r="P3" s="86"/>
      <c r="Q3" s="14"/>
      <c r="R3" s="88" t="s">
        <v>31</v>
      </c>
      <c r="S3" s="15"/>
      <c r="T3" s="15"/>
      <c r="U3" s="87"/>
      <c r="V3" s="15" t="s">
        <v>32</v>
      </c>
      <c r="W3" s="15"/>
      <c r="X3" s="15"/>
      <c r="Y3" s="87"/>
    </row>
    <row r="4">
      <c r="A4" s="89" t="s">
        <v>71</v>
      </c>
      <c r="B4" s="21">
        <v>1.0</v>
      </c>
      <c r="C4" s="22">
        <v>2.0</v>
      </c>
      <c r="D4" s="22">
        <v>3.0</v>
      </c>
      <c r="E4" s="23" t="s">
        <v>72</v>
      </c>
      <c r="F4" s="22">
        <v>1.0</v>
      </c>
      <c r="G4" s="22">
        <v>2.0</v>
      </c>
      <c r="H4" s="22">
        <v>3.0</v>
      </c>
      <c r="I4" s="23" t="s">
        <v>72</v>
      </c>
      <c r="J4" s="21">
        <v>1.0</v>
      </c>
      <c r="K4" s="22">
        <v>2.0</v>
      </c>
      <c r="L4" s="22">
        <v>3.0</v>
      </c>
      <c r="M4" s="23" t="s">
        <v>72</v>
      </c>
      <c r="N4" s="22">
        <v>1.0</v>
      </c>
      <c r="O4" s="22">
        <v>2.0</v>
      </c>
      <c r="P4" s="22">
        <v>3.0</v>
      </c>
      <c r="Q4" s="23" t="s">
        <v>72</v>
      </c>
      <c r="R4" s="21">
        <v>1.0</v>
      </c>
      <c r="S4" s="22">
        <v>2.0</v>
      </c>
      <c r="T4" s="22">
        <v>3.0</v>
      </c>
      <c r="U4" s="23" t="s">
        <v>72</v>
      </c>
      <c r="V4" s="22">
        <v>1.0</v>
      </c>
      <c r="W4" s="22">
        <v>2.0</v>
      </c>
      <c r="X4" s="22">
        <v>3.0</v>
      </c>
      <c r="Y4" s="23" t="s">
        <v>72</v>
      </c>
    </row>
    <row r="5">
      <c r="A5" s="90" t="s">
        <v>73</v>
      </c>
      <c r="B5" s="91">
        <v>8.0</v>
      </c>
      <c r="C5" s="91">
        <v>10.0</v>
      </c>
      <c r="D5" s="91">
        <v>9.0</v>
      </c>
      <c r="E5" s="92">
        <f>AVERAGE(B5:D5)</f>
        <v>9</v>
      </c>
      <c r="F5" s="2">
        <v>6.0</v>
      </c>
      <c r="G5" s="2">
        <v>23.0</v>
      </c>
      <c r="H5" s="2">
        <v>26.0</v>
      </c>
      <c r="I5" s="93">
        <f t="shared" ref="I5:I8" si="1">AVERAGE(F5:H5)</f>
        <v>18.33333333</v>
      </c>
      <c r="J5" s="94">
        <v>0.0</v>
      </c>
      <c r="K5" s="2">
        <v>19.0</v>
      </c>
      <c r="L5" s="2">
        <v>17.0</v>
      </c>
      <c r="M5" s="95">
        <f t="shared" ref="M5:M6" si="2">AVERAGE(J5:L5)</f>
        <v>12</v>
      </c>
      <c r="N5" s="2">
        <v>67.0</v>
      </c>
      <c r="O5" s="2">
        <v>84.0</v>
      </c>
      <c r="P5" s="2">
        <v>81.0</v>
      </c>
      <c r="Q5" s="95">
        <f t="shared" ref="Q5:Q8" si="3">AVERAGE(N5:P5)</f>
        <v>77.33333333</v>
      </c>
      <c r="R5" s="2">
        <v>1.0</v>
      </c>
      <c r="S5" s="2">
        <v>25.0</v>
      </c>
      <c r="T5" s="2">
        <v>28.0</v>
      </c>
      <c r="U5" s="95">
        <f t="shared" ref="U5:U7" si="4">AVERAGE(R5:T5)</f>
        <v>18</v>
      </c>
      <c r="V5" s="2">
        <v>42.0</v>
      </c>
      <c r="W5" s="2">
        <v>52.0</v>
      </c>
      <c r="X5" s="2">
        <v>50.0</v>
      </c>
      <c r="Y5" s="95">
        <f t="shared" ref="Y5:Y8" si="5">AVERAGE(V5:X5)</f>
        <v>48</v>
      </c>
    </row>
    <row r="6">
      <c r="A6" s="90" t="s">
        <v>27</v>
      </c>
      <c r="B6" s="96"/>
      <c r="C6" s="97"/>
      <c r="D6" s="97"/>
      <c r="E6" s="98"/>
      <c r="F6" s="2">
        <v>46.0</v>
      </c>
      <c r="G6" s="2">
        <v>45.0</v>
      </c>
      <c r="H6" s="2">
        <v>46.0</v>
      </c>
      <c r="I6" s="93">
        <f t="shared" si="1"/>
        <v>45.66666667</v>
      </c>
      <c r="J6" s="94">
        <v>39.0</v>
      </c>
      <c r="K6" s="2">
        <v>51.0</v>
      </c>
      <c r="L6" s="2">
        <v>47.0</v>
      </c>
      <c r="M6" s="95">
        <f t="shared" si="2"/>
        <v>45.66666667</v>
      </c>
      <c r="N6" s="2">
        <v>89.0</v>
      </c>
      <c r="O6" s="2">
        <v>88.0</v>
      </c>
      <c r="P6" s="2">
        <v>98.0</v>
      </c>
      <c r="Q6" s="95">
        <f t="shared" si="3"/>
        <v>91.66666667</v>
      </c>
      <c r="R6" s="2">
        <v>39.0</v>
      </c>
      <c r="S6" s="2">
        <v>52.0</v>
      </c>
      <c r="T6" s="2">
        <v>47.0</v>
      </c>
      <c r="U6" s="95">
        <f t="shared" si="4"/>
        <v>46</v>
      </c>
      <c r="V6" s="2">
        <v>66.0</v>
      </c>
      <c r="W6" s="2">
        <v>60.0</v>
      </c>
      <c r="X6" s="2">
        <v>68.0</v>
      </c>
      <c r="Y6" s="95">
        <f t="shared" si="5"/>
        <v>64.66666667</v>
      </c>
    </row>
    <row r="7">
      <c r="A7" s="90" t="s">
        <v>68</v>
      </c>
      <c r="B7" s="96">
        <v>12.0</v>
      </c>
      <c r="C7" s="97">
        <v>13.0</v>
      </c>
      <c r="D7" s="97">
        <v>7.0</v>
      </c>
      <c r="E7" s="98">
        <f t="shared" ref="E7:E9" si="6">AVERAGE(B7:D7)</f>
        <v>10.66666667</v>
      </c>
      <c r="F7" s="2">
        <v>2.0</v>
      </c>
      <c r="G7" s="2">
        <v>3.0</v>
      </c>
      <c r="H7" s="2">
        <v>4.0</v>
      </c>
      <c r="I7" s="93">
        <f t="shared" si="1"/>
        <v>3</v>
      </c>
      <c r="J7" s="94"/>
      <c r="M7" s="95"/>
      <c r="N7" s="2">
        <v>6.0</v>
      </c>
      <c r="O7" s="2">
        <v>6.0</v>
      </c>
      <c r="P7" s="2">
        <v>2.0</v>
      </c>
      <c r="Q7" s="93">
        <f t="shared" si="3"/>
        <v>4.666666667</v>
      </c>
      <c r="R7" s="94">
        <v>0.0</v>
      </c>
      <c r="S7" s="2">
        <v>1.0</v>
      </c>
      <c r="T7" s="2">
        <v>1.0</v>
      </c>
      <c r="U7" s="95">
        <f t="shared" si="4"/>
        <v>0.6666666667</v>
      </c>
      <c r="V7" s="2">
        <v>7.0</v>
      </c>
      <c r="W7" s="2">
        <v>3.0</v>
      </c>
      <c r="X7" s="2">
        <v>4.0</v>
      </c>
      <c r="Y7" s="95">
        <f t="shared" si="5"/>
        <v>4.666666667</v>
      </c>
    </row>
    <row r="8">
      <c r="A8" s="90" t="s">
        <v>30</v>
      </c>
      <c r="B8" s="96">
        <v>61.0</v>
      </c>
      <c r="C8" s="97">
        <v>67.0</v>
      </c>
      <c r="D8" s="97">
        <v>69.0</v>
      </c>
      <c r="E8" s="98">
        <f t="shared" si="6"/>
        <v>65.66666667</v>
      </c>
      <c r="F8" s="2">
        <v>8.0</v>
      </c>
      <c r="G8" s="2">
        <v>6.0</v>
      </c>
      <c r="H8" s="2">
        <v>15.0</v>
      </c>
      <c r="I8" s="93">
        <f t="shared" si="1"/>
        <v>9.666666667</v>
      </c>
      <c r="J8" s="94">
        <v>14.0</v>
      </c>
      <c r="K8" s="2">
        <v>22.0</v>
      </c>
      <c r="L8" s="2">
        <v>16.0</v>
      </c>
      <c r="M8" s="95">
        <f>AVERAGE(J8:L8)</f>
        <v>17.33333333</v>
      </c>
      <c r="N8" s="2">
        <v>0.0</v>
      </c>
      <c r="O8" s="2">
        <v>2.0</v>
      </c>
      <c r="P8" s="2">
        <v>0.0</v>
      </c>
      <c r="Q8" s="93">
        <f t="shared" si="3"/>
        <v>0.6666666667</v>
      </c>
      <c r="R8" s="99"/>
      <c r="U8" s="100"/>
      <c r="V8" s="2">
        <v>9.0</v>
      </c>
      <c r="W8" s="2">
        <v>9.0</v>
      </c>
      <c r="X8" s="2">
        <v>8.0</v>
      </c>
      <c r="Y8" s="95">
        <f t="shared" si="5"/>
        <v>8.666666667</v>
      </c>
    </row>
    <row r="9">
      <c r="A9" s="101" t="s">
        <v>74</v>
      </c>
      <c r="B9" s="102">
        <v>0.0</v>
      </c>
      <c r="C9" s="103">
        <v>0.0</v>
      </c>
      <c r="D9" s="103">
        <v>3.0</v>
      </c>
      <c r="E9" s="104">
        <f t="shared" si="6"/>
        <v>1</v>
      </c>
      <c r="F9" s="105"/>
      <c r="G9" s="105"/>
      <c r="H9" s="105"/>
      <c r="I9" s="106"/>
      <c r="J9" s="107"/>
      <c r="K9" s="108"/>
      <c r="L9" s="108"/>
      <c r="M9" s="109"/>
      <c r="N9" s="108"/>
      <c r="O9" s="108"/>
      <c r="P9" s="105"/>
      <c r="Q9" s="108"/>
      <c r="R9" s="107"/>
      <c r="S9" s="108"/>
      <c r="T9" s="108"/>
      <c r="U9" s="109"/>
      <c r="V9" s="105"/>
      <c r="W9" s="105"/>
      <c r="X9" s="105"/>
      <c r="Y9" s="110"/>
    </row>
    <row r="11">
      <c r="A11" s="84" t="s">
        <v>65</v>
      </c>
      <c r="B11" s="85" t="s">
        <v>27</v>
      </c>
      <c r="C11" s="86"/>
      <c r="D11" s="86"/>
      <c r="E11" s="87"/>
      <c r="F11" s="15" t="s">
        <v>28</v>
      </c>
      <c r="G11" s="15"/>
      <c r="H11" s="15"/>
      <c r="I11" s="14"/>
      <c r="J11" s="88" t="s">
        <v>29</v>
      </c>
      <c r="K11" s="15"/>
      <c r="L11" s="15"/>
      <c r="M11" s="87"/>
      <c r="N11" s="86" t="s">
        <v>30</v>
      </c>
      <c r="O11" s="86"/>
      <c r="P11" s="86"/>
      <c r="Q11" s="14"/>
      <c r="R11" s="88" t="s">
        <v>31</v>
      </c>
      <c r="S11" s="15"/>
      <c r="T11" s="15"/>
      <c r="U11" s="87"/>
      <c r="V11" s="15" t="s">
        <v>32</v>
      </c>
      <c r="W11" s="15"/>
      <c r="X11" s="15"/>
      <c r="Y11" s="87"/>
    </row>
    <row r="12">
      <c r="A12" s="89" t="s">
        <v>71</v>
      </c>
      <c r="B12" s="21">
        <v>1.0</v>
      </c>
      <c r="C12" s="22">
        <v>2.0</v>
      </c>
      <c r="D12" s="22">
        <v>3.0</v>
      </c>
      <c r="E12" s="23" t="s">
        <v>72</v>
      </c>
      <c r="F12" s="22">
        <v>1.0</v>
      </c>
      <c r="G12" s="22">
        <v>2.0</v>
      </c>
      <c r="H12" s="22">
        <v>3.0</v>
      </c>
      <c r="I12" s="23" t="s">
        <v>72</v>
      </c>
      <c r="J12" s="21">
        <v>1.0</v>
      </c>
      <c r="K12" s="22">
        <v>2.0</v>
      </c>
      <c r="L12" s="22">
        <v>3.0</v>
      </c>
      <c r="M12" s="23" t="s">
        <v>72</v>
      </c>
      <c r="N12" s="22">
        <v>1.0</v>
      </c>
      <c r="O12" s="22">
        <v>2.0</v>
      </c>
      <c r="P12" s="22">
        <v>3.0</v>
      </c>
      <c r="Q12" s="23" t="s">
        <v>72</v>
      </c>
      <c r="R12" s="21">
        <v>1.0</v>
      </c>
      <c r="S12" s="22">
        <v>2.0</v>
      </c>
      <c r="T12" s="22">
        <v>3.0</v>
      </c>
      <c r="U12" s="23" t="s">
        <v>72</v>
      </c>
      <c r="V12" s="22">
        <v>1.0</v>
      </c>
      <c r="W12" s="22">
        <v>2.0</v>
      </c>
      <c r="X12" s="22">
        <v>3.0</v>
      </c>
      <c r="Y12" s="23" t="s">
        <v>72</v>
      </c>
    </row>
    <row r="13">
      <c r="A13" s="90" t="s">
        <v>73</v>
      </c>
      <c r="B13" s="91">
        <v>5.0</v>
      </c>
      <c r="C13" s="91">
        <v>4.0</v>
      </c>
      <c r="D13" s="91">
        <v>5.0</v>
      </c>
      <c r="E13" s="95">
        <f>AVERAGE(B13:D13)</f>
        <v>4.666666667</v>
      </c>
      <c r="F13" s="2">
        <v>4.0</v>
      </c>
      <c r="G13" s="2">
        <v>0.0</v>
      </c>
      <c r="H13" s="2">
        <v>3.0</v>
      </c>
      <c r="I13" s="93">
        <f t="shared" ref="I13:I14" si="7">AVERAGE(F13:H13)</f>
        <v>2.333333333</v>
      </c>
      <c r="J13" s="94">
        <v>5.0</v>
      </c>
      <c r="K13" s="2">
        <v>4.0</v>
      </c>
      <c r="L13" s="2">
        <v>6.0</v>
      </c>
      <c r="M13" s="95">
        <f t="shared" ref="M13:M16" si="8">AVERAGE(J13:L13)</f>
        <v>5</v>
      </c>
      <c r="N13" s="2">
        <v>44.0</v>
      </c>
      <c r="O13" s="2">
        <v>34.0</v>
      </c>
      <c r="P13" s="2">
        <v>37.0</v>
      </c>
      <c r="Q13" s="93">
        <f t="shared" ref="Q13:Q16" si="9">AVERAGE(N13:P13)</f>
        <v>38.33333333</v>
      </c>
      <c r="R13" s="94">
        <v>9.0</v>
      </c>
      <c r="S13" s="2">
        <v>10.0</v>
      </c>
      <c r="T13" s="2">
        <v>7.0</v>
      </c>
      <c r="U13" s="95">
        <f t="shared" ref="U13:U14" si="10">AVERAGE(R13:T13)</f>
        <v>8.666666667</v>
      </c>
      <c r="V13" s="2">
        <v>26.0</v>
      </c>
      <c r="W13" s="2">
        <v>29.0</v>
      </c>
      <c r="X13" s="2">
        <v>22.0</v>
      </c>
      <c r="Y13" s="95">
        <f t="shared" ref="Y13:Y17" si="11">AVERAGE(V13:X13)</f>
        <v>25.66666667</v>
      </c>
    </row>
    <row r="14">
      <c r="A14" s="90" t="s">
        <v>27</v>
      </c>
      <c r="B14" s="94"/>
      <c r="E14" s="95"/>
      <c r="F14" s="2">
        <v>3.0</v>
      </c>
      <c r="G14" s="2">
        <v>14.0</v>
      </c>
      <c r="H14" s="2">
        <v>3.0</v>
      </c>
      <c r="I14" s="93">
        <f t="shared" si="7"/>
        <v>6.666666667</v>
      </c>
      <c r="J14" s="94">
        <v>11.0</v>
      </c>
      <c r="K14" s="2">
        <v>12.0</v>
      </c>
      <c r="L14" s="2">
        <v>11.0</v>
      </c>
      <c r="M14" s="95">
        <f t="shared" si="8"/>
        <v>11.33333333</v>
      </c>
      <c r="N14" s="2">
        <v>36.0</v>
      </c>
      <c r="O14" s="2">
        <v>30.0</v>
      </c>
      <c r="P14" s="2">
        <v>32.0</v>
      </c>
      <c r="Q14" s="93">
        <f t="shared" si="9"/>
        <v>32.66666667</v>
      </c>
      <c r="R14" s="94">
        <v>13.0</v>
      </c>
      <c r="S14" s="2">
        <v>13.0</v>
      </c>
      <c r="T14" s="2">
        <v>12.0</v>
      </c>
      <c r="U14" s="95">
        <f t="shared" si="10"/>
        <v>12.66666667</v>
      </c>
      <c r="V14" s="2">
        <v>26.0</v>
      </c>
      <c r="W14" s="2">
        <v>23.0</v>
      </c>
      <c r="X14" s="2">
        <v>9.0</v>
      </c>
      <c r="Y14" s="95">
        <f t="shared" si="11"/>
        <v>19.33333333</v>
      </c>
    </row>
    <row r="15">
      <c r="A15" s="90" t="s">
        <v>68</v>
      </c>
      <c r="B15" s="94">
        <v>2.0</v>
      </c>
      <c r="C15" s="2">
        <v>2.0</v>
      </c>
      <c r="D15" s="2">
        <v>2.0</v>
      </c>
      <c r="E15" s="95">
        <f t="shared" ref="E15:E17" si="12">AVERAGE(B15:D15)</f>
        <v>2</v>
      </c>
      <c r="I15" s="93"/>
      <c r="J15" s="94">
        <v>0.0</v>
      </c>
      <c r="K15" s="2">
        <v>1.0</v>
      </c>
      <c r="L15" s="2">
        <v>0.0</v>
      </c>
      <c r="M15" s="95">
        <f t="shared" si="8"/>
        <v>0.3333333333</v>
      </c>
      <c r="N15" s="2">
        <v>1.0</v>
      </c>
      <c r="O15" s="2">
        <v>0.0</v>
      </c>
      <c r="P15" s="2">
        <v>1.0</v>
      </c>
      <c r="Q15" s="93">
        <f t="shared" si="9"/>
        <v>0.6666666667</v>
      </c>
      <c r="R15" s="94"/>
      <c r="U15" s="95"/>
      <c r="V15" s="2">
        <v>3.0</v>
      </c>
      <c r="W15" s="2">
        <v>1.0</v>
      </c>
      <c r="X15" s="2">
        <v>0.0</v>
      </c>
      <c r="Y15" s="95">
        <f t="shared" si="11"/>
        <v>1.333333333</v>
      </c>
    </row>
    <row r="16">
      <c r="A16" s="90" t="s">
        <v>30</v>
      </c>
      <c r="B16" s="94">
        <v>22.0</v>
      </c>
      <c r="C16" s="2">
        <v>20.0</v>
      </c>
      <c r="D16" s="2">
        <v>13.0</v>
      </c>
      <c r="E16" s="95">
        <f t="shared" si="12"/>
        <v>18.33333333</v>
      </c>
      <c r="F16" s="97">
        <v>1.0</v>
      </c>
      <c r="G16" s="97">
        <v>0.0</v>
      </c>
      <c r="H16" s="97">
        <v>1.0</v>
      </c>
      <c r="I16" s="93">
        <f>AVERAGE(F16:H16)</f>
        <v>0.6666666667</v>
      </c>
      <c r="J16" s="94">
        <v>6.0</v>
      </c>
      <c r="K16" s="2">
        <v>11.0</v>
      </c>
      <c r="L16" s="2">
        <v>7.0</v>
      </c>
      <c r="M16" s="95">
        <f t="shared" si="8"/>
        <v>8</v>
      </c>
      <c r="N16" s="2">
        <v>0.0</v>
      </c>
      <c r="O16" s="2">
        <v>2.0</v>
      </c>
      <c r="P16" s="2">
        <v>2.0</v>
      </c>
      <c r="Q16" s="93">
        <f t="shared" si="9"/>
        <v>1.333333333</v>
      </c>
      <c r="R16" s="99"/>
      <c r="U16" s="100"/>
      <c r="V16" s="2">
        <v>3.0</v>
      </c>
      <c r="W16" s="2">
        <v>4.0</v>
      </c>
      <c r="X16" s="2">
        <v>1.0</v>
      </c>
      <c r="Y16" s="95">
        <f t="shared" si="11"/>
        <v>2.666666667</v>
      </c>
    </row>
    <row r="17">
      <c r="A17" s="101" t="s">
        <v>74</v>
      </c>
      <c r="B17" s="111">
        <v>1.0</v>
      </c>
      <c r="C17" s="105">
        <v>0.0</v>
      </c>
      <c r="D17" s="105">
        <v>0.0</v>
      </c>
      <c r="E17" s="110">
        <f t="shared" si="12"/>
        <v>0.3333333333</v>
      </c>
      <c r="F17" s="105"/>
      <c r="G17" s="105"/>
      <c r="H17" s="105"/>
      <c r="I17" s="106"/>
      <c r="J17" s="107"/>
      <c r="K17" s="108"/>
      <c r="L17" s="108"/>
      <c r="M17" s="109"/>
      <c r="N17" s="108"/>
      <c r="O17" s="108"/>
      <c r="P17" s="108"/>
      <c r="Q17" s="108"/>
      <c r="R17" s="107"/>
      <c r="S17" s="108"/>
      <c r="T17" s="108"/>
      <c r="U17" s="109"/>
      <c r="V17" s="105">
        <v>1.0</v>
      </c>
      <c r="W17" s="105">
        <v>0.0</v>
      </c>
      <c r="X17" s="105">
        <v>0.0</v>
      </c>
      <c r="Y17" s="95">
        <f t="shared" si="11"/>
        <v>0.3333333333</v>
      </c>
    </row>
    <row r="21">
      <c r="A21" s="5" t="s">
        <v>75</v>
      </c>
    </row>
    <row r="22">
      <c r="A22" s="2" t="s">
        <v>70</v>
      </c>
    </row>
    <row r="23">
      <c r="A23" s="112" t="s">
        <v>62</v>
      </c>
      <c r="B23" s="85" t="s">
        <v>27</v>
      </c>
      <c r="C23" s="85" t="s">
        <v>28</v>
      </c>
      <c r="D23" s="85" t="s">
        <v>29</v>
      </c>
      <c r="E23" s="85" t="s">
        <v>30</v>
      </c>
      <c r="F23" s="85" t="s">
        <v>31</v>
      </c>
      <c r="G23" s="113" t="s">
        <v>32</v>
      </c>
      <c r="I23" s="19"/>
      <c r="K23" s="114" t="s">
        <v>76</v>
      </c>
      <c r="L23" s="86"/>
      <c r="M23" s="86"/>
      <c r="N23" s="86"/>
      <c r="O23" s="86"/>
    </row>
    <row r="24">
      <c r="A24" s="115" t="s">
        <v>36</v>
      </c>
      <c r="B24" s="116" t="s">
        <v>72</v>
      </c>
      <c r="C24" s="116" t="s">
        <v>72</v>
      </c>
      <c r="D24" s="116" t="s">
        <v>72</v>
      </c>
      <c r="E24" s="116" t="s">
        <v>72</v>
      </c>
      <c r="F24" s="116" t="s">
        <v>72</v>
      </c>
      <c r="G24" s="116" t="s">
        <v>72</v>
      </c>
      <c r="I24" s="50"/>
      <c r="J24" s="117" t="s">
        <v>77</v>
      </c>
      <c r="K24" s="21" t="s">
        <v>36</v>
      </c>
      <c r="L24" s="22" t="s">
        <v>78</v>
      </c>
      <c r="M24" s="22" t="s">
        <v>79</v>
      </c>
      <c r="N24" s="22" t="s">
        <v>80</v>
      </c>
      <c r="O24" s="23" t="s">
        <v>81</v>
      </c>
    </row>
    <row r="25">
      <c r="A25" s="25" t="s">
        <v>2</v>
      </c>
      <c r="B25" s="118">
        <v>5.0</v>
      </c>
      <c r="C25" s="118">
        <v>3.0</v>
      </c>
      <c r="D25" s="118">
        <v>2.66666666666667</v>
      </c>
      <c r="E25" s="118">
        <v>8.0</v>
      </c>
      <c r="F25" s="118">
        <v>3.66666666666667</v>
      </c>
      <c r="G25" s="118">
        <v>6.0</v>
      </c>
      <c r="I25" s="119"/>
      <c r="J25" s="3">
        <v>33.0</v>
      </c>
      <c r="K25" s="25" t="s">
        <v>2</v>
      </c>
      <c r="L25" s="120">
        <f t="shared" ref="L25:L45" si="13">SUM(B25,C25,D25,E25,F25,G25)/6</f>
        <v>4.722222222</v>
      </c>
      <c r="M25" s="121">
        <f t="shared" ref="M25:M45" si="14">L25/J25</f>
        <v>0.1430976431</v>
      </c>
      <c r="N25" s="122">
        <f t="shared" ref="N25:N45" si="15">SUM(B48,C48,D48,E48,F48,G48,)/6</f>
        <v>1.888888889</v>
      </c>
      <c r="O25" s="123">
        <f t="shared" ref="O25:O45" si="16">N25/J25</f>
        <v>0.05723905724</v>
      </c>
    </row>
    <row r="26">
      <c r="A26" s="25" t="s">
        <v>15</v>
      </c>
      <c r="B26" s="124">
        <v>3.0</v>
      </c>
      <c r="C26" s="124">
        <v>1.0</v>
      </c>
      <c r="D26" s="124">
        <v>1.33333333333333</v>
      </c>
      <c r="E26" s="124">
        <v>7.33333333333333</v>
      </c>
      <c r="F26" s="124">
        <v>3.33333333333333</v>
      </c>
      <c r="G26" s="124">
        <v>7.0</v>
      </c>
      <c r="I26" s="119"/>
      <c r="J26" s="3">
        <v>9.0</v>
      </c>
      <c r="K26" s="25" t="s">
        <v>15</v>
      </c>
      <c r="L26" s="120">
        <f t="shared" si="13"/>
        <v>3.833333333</v>
      </c>
      <c r="M26" s="121">
        <f t="shared" si="14"/>
        <v>0.4259259259</v>
      </c>
      <c r="N26" s="122">
        <f t="shared" si="15"/>
        <v>0.2777777778</v>
      </c>
      <c r="O26" s="123">
        <f t="shared" si="16"/>
        <v>0.03086419753</v>
      </c>
    </row>
    <row r="27">
      <c r="A27" s="25" t="s">
        <v>12</v>
      </c>
      <c r="B27" s="124">
        <v>6.33333333333333</v>
      </c>
      <c r="C27" s="124">
        <v>5.0</v>
      </c>
      <c r="D27" s="124">
        <v>2.33333333333333</v>
      </c>
      <c r="E27" s="124">
        <v>7.66666666666667</v>
      </c>
      <c r="F27" s="124">
        <v>2.66666666666667</v>
      </c>
      <c r="G27" s="124">
        <v>6.0</v>
      </c>
      <c r="I27" s="119"/>
      <c r="J27" s="3">
        <v>15.0</v>
      </c>
      <c r="K27" s="25" t="s">
        <v>12</v>
      </c>
      <c r="L27" s="120">
        <f t="shared" si="13"/>
        <v>5</v>
      </c>
      <c r="M27" s="121">
        <f t="shared" si="14"/>
        <v>0.3333333333</v>
      </c>
      <c r="N27" s="122">
        <f t="shared" si="15"/>
        <v>1.888888889</v>
      </c>
      <c r="O27" s="123">
        <f t="shared" si="16"/>
        <v>0.1259259259</v>
      </c>
    </row>
    <row r="28">
      <c r="A28" s="25" t="s">
        <v>11</v>
      </c>
      <c r="B28" s="124">
        <v>9.66666666666667</v>
      </c>
      <c r="C28" s="124">
        <v>5.0</v>
      </c>
      <c r="D28" s="124">
        <v>6.0</v>
      </c>
      <c r="E28" s="124">
        <v>6.0</v>
      </c>
      <c r="F28" s="124">
        <v>2.33333333333333</v>
      </c>
      <c r="G28" s="124">
        <v>8.0</v>
      </c>
      <c r="I28" s="119"/>
      <c r="J28" s="3">
        <v>19.0</v>
      </c>
      <c r="K28" s="25" t="s">
        <v>11</v>
      </c>
      <c r="L28" s="120">
        <f t="shared" si="13"/>
        <v>6.166666667</v>
      </c>
      <c r="M28" s="121">
        <f t="shared" si="14"/>
        <v>0.3245614035</v>
      </c>
      <c r="N28" s="122">
        <f t="shared" si="15"/>
        <v>1</v>
      </c>
      <c r="O28" s="123">
        <f t="shared" si="16"/>
        <v>0.05263157895</v>
      </c>
    </row>
    <row r="29">
      <c r="A29" s="25" t="s">
        <v>20</v>
      </c>
      <c r="B29" s="124">
        <v>1.66666666666667</v>
      </c>
      <c r="C29" s="124"/>
      <c r="D29" s="124"/>
      <c r="E29" s="124">
        <v>0.333333333333333</v>
      </c>
      <c r="F29" s="124">
        <v>0.666666666666667</v>
      </c>
      <c r="G29" s="124">
        <v>1.33333333333333</v>
      </c>
      <c r="I29" s="119"/>
      <c r="J29" s="3">
        <v>3.0</v>
      </c>
      <c r="K29" s="25" t="s">
        <v>20</v>
      </c>
      <c r="L29" s="120">
        <f t="shared" si="13"/>
        <v>0.6666666667</v>
      </c>
      <c r="M29" s="121">
        <f t="shared" si="14"/>
        <v>0.2222222222</v>
      </c>
      <c r="N29" s="122">
        <f t="shared" si="15"/>
        <v>0.3333333333</v>
      </c>
      <c r="O29" s="123">
        <f t="shared" si="16"/>
        <v>0.1111111111</v>
      </c>
    </row>
    <row r="30">
      <c r="A30" s="25" t="s">
        <v>17</v>
      </c>
      <c r="B30" s="124">
        <v>3.33333333333333</v>
      </c>
      <c r="C30" s="124">
        <v>2.0</v>
      </c>
      <c r="D30" s="124">
        <v>1.0</v>
      </c>
      <c r="E30" s="124">
        <v>7.33333333333333</v>
      </c>
      <c r="F30" s="124">
        <v>1.33333333333333</v>
      </c>
      <c r="G30" s="124">
        <v>3.66666666666667</v>
      </c>
      <c r="I30" s="119"/>
      <c r="J30" s="3">
        <v>7.0</v>
      </c>
      <c r="K30" s="25" t="s">
        <v>17</v>
      </c>
      <c r="L30" s="120">
        <f t="shared" si="13"/>
        <v>3.111111111</v>
      </c>
      <c r="M30" s="121">
        <f t="shared" si="14"/>
        <v>0.4444444444</v>
      </c>
      <c r="N30" s="122">
        <f t="shared" si="15"/>
        <v>0.3333333333</v>
      </c>
      <c r="O30" s="123">
        <f t="shared" si="16"/>
        <v>0.04761904762</v>
      </c>
    </row>
    <row r="31">
      <c r="A31" s="25" t="s">
        <v>10</v>
      </c>
      <c r="B31" s="124">
        <v>9.33333333333333</v>
      </c>
      <c r="C31" s="124">
        <v>4.66666666666667</v>
      </c>
      <c r="D31" s="124">
        <v>1.66666666666667</v>
      </c>
      <c r="E31" s="124">
        <v>9.33333333333333</v>
      </c>
      <c r="F31" s="124">
        <v>1.33333333333333</v>
      </c>
      <c r="G31" s="124">
        <v>8.0</v>
      </c>
      <c r="I31" s="119"/>
      <c r="J31" s="3">
        <v>20.0</v>
      </c>
      <c r="K31" s="25" t="s">
        <v>10</v>
      </c>
      <c r="L31" s="120">
        <f t="shared" si="13"/>
        <v>5.722222222</v>
      </c>
      <c r="M31" s="121">
        <f t="shared" si="14"/>
        <v>0.2861111111</v>
      </c>
      <c r="N31" s="122">
        <f t="shared" si="15"/>
        <v>1.388888889</v>
      </c>
      <c r="O31" s="123">
        <f t="shared" si="16"/>
        <v>0.06944444444</v>
      </c>
    </row>
    <row r="32">
      <c r="A32" s="25" t="s">
        <v>5</v>
      </c>
      <c r="B32" s="124">
        <v>3.33333333333333</v>
      </c>
      <c r="C32" s="124">
        <v>2.66666666666667</v>
      </c>
      <c r="D32" s="124">
        <v>2.0</v>
      </c>
      <c r="E32" s="124">
        <v>4.66666666666667</v>
      </c>
      <c r="F32" s="124">
        <v>2.0</v>
      </c>
      <c r="G32" s="124">
        <v>3.33333333333333</v>
      </c>
      <c r="I32" s="119"/>
      <c r="J32" s="3">
        <v>27.0</v>
      </c>
      <c r="K32" s="25" t="s">
        <v>5</v>
      </c>
      <c r="L32" s="120">
        <f t="shared" si="13"/>
        <v>3</v>
      </c>
      <c r="M32" s="121">
        <f t="shared" si="14"/>
        <v>0.1111111111</v>
      </c>
      <c r="N32" s="122">
        <f t="shared" si="15"/>
        <v>1.611111111</v>
      </c>
      <c r="O32" s="123">
        <f t="shared" si="16"/>
        <v>0.05967078189</v>
      </c>
    </row>
    <row r="33">
      <c r="A33" s="25" t="s">
        <v>22</v>
      </c>
      <c r="B33" s="124"/>
      <c r="C33" s="124"/>
      <c r="D33" s="124">
        <v>0.333333333333333</v>
      </c>
      <c r="E33" s="124">
        <v>0.333333333333333</v>
      </c>
      <c r="F33" s="124"/>
      <c r="G33" s="124">
        <v>0.333333333333333</v>
      </c>
      <c r="I33" s="119"/>
      <c r="J33" s="3">
        <v>1.0</v>
      </c>
      <c r="K33" s="25" t="s">
        <v>22</v>
      </c>
      <c r="L33" s="120">
        <f t="shared" si="13"/>
        <v>0.1666666667</v>
      </c>
      <c r="M33" s="121">
        <f t="shared" si="14"/>
        <v>0.1666666667</v>
      </c>
      <c r="N33" s="122">
        <f t="shared" si="15"/>
        <v>1.5</v>
      </c>
      <c r="O33" s="123">
        <f t="shared" si="16"/>
        <v>1.5</v>
      </c>
    </row>
    <row r="34">
      <c r="A34" s="25" t="s">
        <v>18</v>
      </c>
      <c r="B34" s="124">
        <v>1.33333333333333</v>
      </c>
      <c r="C34" s="124">
        <v>2.33333333333333</v>
      </c>
      <c r="D34" s="124">
        <v>1.33333333333333</v>
      </c>
      <c r="E34" s="124">
        <v>6.33333333333333</v>
      </c>
      <c r="F34" s="124">
        <v>3.33333333333333</v>
      </c>
      <c r="G34" s="124">
        <v>6.33333333333333</v>
      </c>
      <c r="I34" s="119"/>
      <c r="J34" s="3">
        <v>6.0</v>
      </c>
      <c r="K34" s="25" t="s">
        <v>18</v>
      </c>
      <c r="L34" s="120">
        <f t="shared" si="13"/>
        <v>3.5</v>
      </c>
      <c r="M34" s="121">
        <f t="shared" si="14"/>
        <v>0.5833333333</v>
      </c>
      <c r="N34" s="122">
        <f t="shared" si="15"/>
        <v>3.611111111</v>
      </c>
      <c r="O34" s="123">
        <f t="shared" si="16"/>
        <v>0.6018518519</v>
      </c>
    </row>
    <row r="35">
      <c r="A35" s="25" t="s">
        <v>7</v>
      </c>
      <c r="B35" s="124">
        <v>3.66666666666667</v>
      </c>
      <c r="C35" s="124">
        <v>10.6666666666667</v>
      </c>
      <c r="D35" s="124">
        <v>2.0</v>
      </c>
      <c r="E35" s="124">
        <v>20.3333333333333</v>
      </c>
      <c r="F35" s="124">
        <v>4.33333333333333</v>
      </c>
      <c r="G35" s="124">
        <v>13.6666666666667</v>
      </c>
      <c r="I35" s="119"/>
      <c r="J35" s="3">
        <v>25.0</v>
      </c>
      <c r="K35" s="25" t="s">
        <v>7</v>
      </c>
      <c r="L35" s="120">
        <f t="shared" si="13"/>
        <v>9.111111111</v>
      </c>
      <c r="M35" s="121">
        <f t="shared" si="14"/>
        <v>0.3644444444</v>
      </c>
      <c r="N35" s="122">
        <f t="shared" si="15"/>
        <v>2.777777778</v>
      </c>
      <c r="O35" s="123">
        <f t="shared" si="16"/>
        <v>0.1111111111</v>
      </c>
    </row>
    <row r="36">
      <c r="A36" s="25" t="s">
        <v>6</v>
      </c>
      <c r="B36" s="124">
        <v>5.0</v>
      </c>
      <c r="C36" s="124">
        <v>1.33333333333333</v>
      </c>
      <c r="D36" s="124">
        <v>1.66666666666667</v>
      </c>
      <c r="E36" s="124">
        <v>11.0</v>
      </c>
      <c r="F36" s="124">
        <v>1.33333333333333</v>
      </c>
      <c r="G36" s="124">
        <v>7.33333333333333</v>
      </c>
      <c r="I36" s="119"/>
      <c r="J36" s="3">
        <v>27.0</v>
      </c>
      <c r="K36" s="25" t="s">
        <v>6</v>
      </c>
      <c r="L36" s="120">
        <f t="shared" si="13"/>
        <v>4.611111111</v>
      </c>
      <c r="M36" s="121">
        <f t="shared" si="14"/>
        <v>0.170781893</v>
      </c>
      <c r="N36" s="122">
        <f t="shared" si="15"/>
        <v>2.555555556</v>
      </c>
      <c r="O36" s="123">
        <f t="shared" si="16"/>
        <v>0.09465020576</v>
      </c>
    </row>
    <row r="37">
      <c r="A37" s="25" t="s">
        <v>8</v>
      </c>
      <c r="B37" s="124">
        <v>5.66666666666667</v>
      </c>
      <c r="C37" s="124">
        <v>14.6666666666667</v>
      </c>
      <c r="D37" s="124">
        <v>14.3333333333333</v>
      </c>
      <c r="E37" s="124">
        <v>24.6666666666667</v>
      </c>
      <c r="F37" s="124">
        <v>15.6666666666667</v>
      </c>
      <c r="G37" s="124">
        <v>16.0</v>
      </c>
      <c r="I37" s="119"/>
      <c r="J37" s="3">
        <v>25.0</v>
      </c>
      <c r="K37" s="25" t="s">
        <v>8</v>
      </c>
      <c r="L37" s="120">
        <f t="shared" si="13"/>
        <v>15.16666667</v>
      </c>
      <c r="M37" s="121">
        <f t="shared" si="14"/>
        <v>0.6066666667</v>
      </c>
      <c r="N37" s="122">
        <f t="shared" si="15"/>
        <v>0.5</v>
      </c>
      <c r="O37" s="123">
        <f t="shared" si="16"/>
        <v>0.02</v>
      </c>
    </row>
    <row r="38">
      <c r="A38" s="25" t="s">
        <v>19</v>
      </c>
      <c r="B38" s="124">
        <v>1.33333333333333</v>
      </c>
      <c r="C38" s="124">
        <v>0.666666666666667</v>
      </c>
      <c r="D38" s="124">
        <v>0.333333333333333</v>
      </c>
      <c r="E38" s="124">
        <v>2.66666666666667</v>
      </c>
      <c r="F38" s="124">
        <v>0.333333333333333</v>
      </c>
      <c r="G38" s="124">
        <v>1.66666666666667</v>
      </c>
      <c r="I38" s="119"/>
      <c r="J38" s="3">
        <v>4.0</v>
      </c>
      <c r="K38" s="25" t="s">
        <v>19</v>
      </c>
      <c r="L38" s="120">
        <f t="shared" si="13"/>
        <v>1.166666667</v>
      </c>
      <c r="M38" s="121">
        <f t="shared" si="14"/>
        <v>0.2916666667</v>
      </c>
      <c r="N38" s="122">
        <f t="shared" si="15"/>
        <v>2.388888889</v>
      </c>
      <c r="O38" s="123">
        <f t="shared" si="16"/>
        <v>0.5972222222</v>
      </c>
    </row>
    <row r="39">
      <c r="A39" s="25" t="s">
        <v>13</v>
      </c>
      <c r="B39" s="124">
        <v>1.0</v>
      </c>
      <c r="C39" s="124">
        <v>2.66666666666667</v>
      </c>
      <c r="D39" s="124">
        <v>4.0</v>
      </c>
      <c r="E39" s="124">
        <v>6.33333333333333</v>
      </c>
      <c r="F39" s="124">
        <v>3.33333333333333</v>
      </c>
      <c r="G39" s="124">
        <v>3.33333333333333</v>
      </c>
      <c r="I39" s="119"/>
      <c r="J39" s="3">
        <v>10.0</v>
      </c>
      <c r="K39" s="25" t="s">
        <v>13</v>
      </c>
      <c r="L39" s="120">
        <f t="shared" si="13"/>
        <v>3.444444444</v>
      </c>
      <c r="M39" s="121">
        <f t="shared" si="14"/>
        <v>0.3444444444</v>
      </c>
      <c r="N39" s="122">
        <f t="shared" si="15"/>
        <v>0.6111111111</v>
      </c>
      <c r="O39" s="123">
        <f t="shared" si="16"/>
        <v>0.06111111111</v>
      </c>
    </row>
    <row r="40">
      <c r="A40" s="25" t="s">
        <v>14</v>
      </c>
      <c r="B40" s="124">
        <v>2.0</v>
      </c>
      <c r="C40" s="124">
        <v>0.666666666666667</v>
      </c>
      <c r="D40" s="124">
        <v>1.0</v>
      </c>
      <c r="E40" s="124">
        <v>7.33333333333333</v>
      </c>
      <c r="F40" s="124">
        <v>0.666666666666667</v>
      </c>
      <c r="G40" s="124">
        <v>7.0</v>
      </c>
      <c r="I40" s="119"/>
      <c r="J40" s="3">
        <v>10.0</v>
      </c>
      <c r="K40" s="25" t="s">
        <v>14</v>
      </c>
      <c r="L40" s="120">
        <f t="shared" si="13"/>
        <v>3.111111111</v>
      </c>
      <c r="M40" s="121">
        <f t="shared" si="14"/>
        <v>0.3111111111</v>
      </c>
      <c r="N40" s="122">
        <f t="shared" si="15"/>
        <v>2.611111111</v>
      </c>
      <c r="O40" s="123">
        <f t="shared" si="16"/>
        <v>0.2611111111</v>
      </c>
    </row>
    <row r="41">
      <c r="A41" s="25" t="s">
        <v>9</v>
      </c>
      <c r="B41" s="124">
        <v>7.66666666666667</v>
      </c>
      <c r="C41" s="124">
        <v>9.0</v>
      </c>
      <c r="D41" s="124">
        <v>9.33333333333333</v>
      </c>
      <c r="E41" s="124">
        <v>6.66666666666667</v>
      </c>
      <c r="F41" s="124">
        <v>6.66666666666667</v>
      </c>
      <c r="G41" s="124">
        <v>3.0</v>
      </c>
      <c r="I41" s="119"/>
      <c r="J41" s="3">
        <v>23.0</v>
      </c>
      <c r="K41" s="25" t="s">
        <v>9</v>
      </c>
      <c r="L41" s="120">
        <f t="shared" si="13"/>
        <v>7.055555556</v>
      </c>
      <c r="M41" s="121">
        <f t="shared" si="14"/>
        <v>0.306763285</v>
      </c>
      <c r="N41" s="122">
        <f t="shared" si="15"/>
        <v>3.166666667</v>
      </c>
      <c r="O41" s="123">
        <f t="shared" si="16"/>
        <v>0.1376811594</v>
      </c>
    </row>
    <row r="42">
      <c r="A42" s="25" t="s">
        <v>4</v>
      </c>
      <c r="B42" s="124">
        <v>10.6666666666667</v>
      </c>
      <c r="C42" s="124">
        <v>5.0</v>
      </c>
      <c r="D42" s="124">
        <v>14.0</v>
      </c>
      <c r="E42" s="124">
        <v>18.3333333333333</v>
      </c>
      <c r="F42" s="124">
        <v>6.66666666666667</v>
      </c>
      <c r="G42" s="124">
        <v>10.0</v>
      </c>
      <c r="I42" s="119"/>
      <c r="J42" s="3">
        <v>28.0</v>
      </c>
      <c r="K42" s="25" t="s">
        <v>4</v>
      </c>
      <c r="L42" s="120">
        <f t="shared" si="13"/>
        <v>10.77777778</v>
      </c>
      <c r="M42" s="121">
        <f t="shared" si="14"/>
        <v>0.3849206349</v>
      </c>
      <c r="N42" s="122">
        <f t="shared" si="15"/>
        <v>0.9444444444</v>
      </c>
      <c r="O42" s="123">
        <f t="shared" si="16"/>
        <v>0.03373015873</v>
      </c>
    </row>
    <row r="43">
      <c r="A43" s="25" t="s">
        <v>21</v>
      </c>
      <c r="B43" s="124">
        <v>0.333333333333333</v>
      </c>
      <c r="C43" s="124"/>
      <c r="D43" s="124">
        <v>1.0</v>
      </c>
      <c r="E43" s="124">
        <v>5.66666666666667</v>
      </c>
      <c r="F43" s="124">
        <v>1.66666666666667</v>
      </c>
      <c r="G43" s="124">
        <v>1.66666666666667</v>
      </c>
      <c r="I43" s="119"/>
      <c r="J43" s="3">
        <v>3.0</v>
      </c>
      <c r="K43" s="25" t="s">
        <v>21</v>
      </c>
      <c r="L43" s="120">
        <f t="shared" si="13"/>
        <v>1.722222222</v>
      </c>
      <c r="M43" s="121">
        <f t="shared" si="14"/>
        <v>0.5740740741</v>
      </c>
      <c r="N43" s="122">
        <f t="shared" si="15"/>
        <v>1.444444444</v>
      </c>
      <c r="O43" s="123">
        <f t="shared" si="16"/>
        <v>0.4814814815</v>
      </c>
    </row>
    <row r="44">
      <c r="A44" s="25" t="s">
        <v>16</v>
      </c>
      <c r="B44" s="124">
        <v>3.66666666666667</v>
      </c>
      <c r="C44" s="124">
        <v>3.33333333333333</v>
      </c>
      <c r="D44" s="124">
        <v>6.66666666666667</v>
      </c>
      <c r="E44" s="124">
        <v>3.0</v>
      </c>
      <c r="F44" s="48">
        <v>2.66666666666667</v>
      </c>
      <c r="G44" s="124">
        <v>4.33333333333333</v>
      </c>
      <c r="I44" s="119"/>
      <c r="J44" s="3">
        <v>9.0</v>
      </c>
      <c r="K44" s="25" t="s">
        <v>16</v>
      </c>
      <c r="L44" s="120">
        <f t="shared" si="13"/>
        <v>3.944444444</v>
      </c>
      <c r="M44" s="121">
        <f t="shared" si="14"/>
        <v>0.4382716049</v>
      </c>
      <c r="N44" s="122">
        <f t="shared" si="15"/>
        <v>3.111111111</v>
      </c>
      <c r="O44" s="123">
        <f t="shared" si="16"/>
        <v>0.3456790123</v>
      </c>
    </row>
    <row r="45">
      <c r="A45" s="25" t="s">
        <v>3</v>
      </c>
      <c r="B45" s="124">
        <v>2.33333333333333</v>
      </c>
      <c r="C45" s="124">
        <v>3.0</v>
      </c>
      <c r="D45" s="124">
        <v>2.0</v>
      </c>
      <c r="E45" s="124">
        <v>11.0</v>
      </c>
      <c r="F45" s="124">
        <v>0.666666666666667</v>
      </c>
      <c r="G45" s="124">
        <v>8.0</v>
      </c>
      <c r="I45" s="119"/>
      <c r="J45" s="3">
        <v>29.0</v>
      </c>
      <c r="K45" s="25" t="s">
        <v>3</v>
      </c>
      <c r="L45" s="120">
        <f t="shared" si="13"/>
        <v>4.5</v>
      </c>
      <c r="M45" s="121">
        <f t="shared" si="14"/>
        <v>0.1551724138</v>
      </c>
      <c r="N45" s="122">
        <f t="shared" si="15"/>
        <v>0</v>
      </c>
      <c r="O45" s="123">
        <f t="shared" si="16"/>
        <v>0</v>
      </c>
    </row>
    <row r="46">
      <c r="A46" s="112" t="s">
        <v>65</v>
      </c>
      <c r="B46" s="85" t="s">
        <v>27</v>
      </c>
      <c r="C46" s="85" t="s">
        <v>28</v>
      </c>
      <c r="D46" s="85" t="s">
        <v>29</v>
      </c>
      <c r="E46" s="85" t="s">
        <v>30</v>
      </c>
      <c r="F46" s="85" t="s">
        <v>31</v>
      </c>
      <c r="G46" s="113" t="s">
        <v>32</v>
      </c>
      <c r="H46" s="19"/>
      <c r="I46" s="19"/>
      <c r="L46" s="45"/>
      <c r="M46" s="121"/>
      <c r="N46" s="125"/>
      <c r="O46" s="123"/>
    </row>
    <row r="47">
      <c r="A47" s="115" t="s">
        <v>36</v>
      </c>
      <c r="B47" s="116" t="s">
        <v>72</v>
      </c>
      <c r="C47" s="116" t="s">
        <v>72</v>
      </c>
      <c r="D47" s="116" t="s">
        <v>72</v>
      </c>
      <c r="E47" s="116" t="s">
        <v>72</v>
      </c>
      <c r="F47" s="116" t="s">
        <v>72</v>
      </c>
      <c r="G47" s="116" t="s">
        <v>72</v>
      </c>
      <c r="H47" s="50"/>
      <c r="I47" s="50"/>
      <c r="J47" s="50"/>
      <c r="K47" s="50"/>
      <c r="L47" s="50"/>
      <c r="M47" s="50"/>
    </row>
    <row r="48">
      <c r="A48" s="25" t="s">
        <v>2</v>
      </c>
      <c r="B48" s="118">
        <v>2.0</v>
      </c>
      <c r="C48" s="118">
        <v>0.666666666666667</v>
      </c>
      <c r="D48" s="118">
        <v>1.66666666666667</v>
      </c>
      <c r="E48" s="118">
        <v>3.0</v>
      </c>
      <c r="F48" s="118">
        <v>1.0</v>
      </c>
      <c r="G48" s="118">
        <v>3.0</v>
      </c>
      <c r="H48" s="126"/>
      <c r="I48" s="119"/>
      <c r="J48" s="126"/>
      <c r="K48" s="119"/>
      <c r="L48" s="119"/>
      <c r="M48" s="119"/>
    </row>
    <row r="49">
      <c r="A49" s="25" t="s">
        <v>15</v>
      </c>
      <c r="B49" s="124">
        <v>0.333333333333333</v>
      </c>
      <c r="G49" s="124">
        <v>1.33333333333333</v>
      </c>
      <c r="H49" s="126"/>
      <c r="I49" s="119"/>
      <c r="J49" s="126"/>
      <c r="K49" s="119"/>
      <c r="L49" s="119"/>
      <c r="M49" s="119"/>
    </row>
    <row r="50">
      <c r="A50" s="25" t="s">
        <v>12</v>
      </c>
      <c r="B50" s="124">
        <v>0.666666666666667</v>
      </c>
      <c r="C50" s="124">
        <v>0.666666666666667</v>
      </c>
      <c r="D50" s="124">
        <v>1.0</v>
      </c>
      <c r="E50" s="124">
        <v>5.33333333333333</v>
      </c>
      <c r="F50" s="124">
        <v>1.0</v>
      </c>
      <c r="G50" s="124">
        <v>2.66666666666667</v>
      </c>
      <c r="H50" s="126"/>
      <c r="I50" s="119"/>
      <c r="J50" s="126"/>
      <c r="K50" s="119"/>
      <c r="L50" s="119"/>
      <c r="M50" s="119"/>
    </row>
    <row r="51">
      <c r="A51" s="25" t="s">
        <v>11</v>
      </c>
      <c r="B51" s="124">
        <v>2.33333333333333</v>
      </c>
      <c r="C51" s="124">
        <v>0.333333333333333</v>
      </c>
      <c r="D51" s="124">
        <v>0.666666666666667</v>
      </c>
      <c r="E51" s="124">
        <v>2.33333333333333</v>
      </c>
      <c r="G51" s="124">
        <v>0.333333333333333</v>
      </c>
      <c r="H51" s="126"/>
      <c r="I51" s="119"/>
      <c r="J51" s="126"/>
      <c r="K51" s="119"/>
      <c r="L51" s="119"/>
      <c r="M51" s="119"/>
    </row>
    <row r="52">
      <c r="A52" s="25" t="s">
        <v>20</v>
      </c>
      <c r="B52" s="124">
        <v>0.333333333333333</v>
      </c>
      <c r="C52" s="124">
        <v>0.333333333333333</v>
      </c>
      <c r="E52" s="124">
        <v>0.666666666666667</v>
      </c>
      <c r="G52" s="124">
        <v>0.666666666666667</v>
      </c>
      <c r="H52" s="126"/>
      <c r="I52" s="119"/>
      <c r="J52" s="126"/>
      <c r="K52" s="119"/>
      <c r="L52" s="119"/>
      <c r="M52" s="119"/>
    </row>
    <row r="53">
      <c r="A53" s="25" t="s">
        <v>17</v>
      </c>
      <c r="D53" s="124">
        <v>0.666666666666667</v>
      </c>
      <c r="E53" s="124">
        <v>0.666666666666667</v>
      </c>
      <c r="F53" s="124">
        <v>0.333333333333333</v>
      </c>
      <c r="G53" s="124">
        <v>0.333333333333333</v>
      </c>
      <c r="H53" s="119"/>
      <c r="I53" s="119"/>
      <c r="J53" s="119"/>
      <c r="K53" s="119"/>
      <c r="L53" s="119"/>
      <c r="M53" s="119"/>
    </row>
    <row r="54">
      <c r="A54" s="25" t="s">
        <v>10</v>
      </c>
      <c r="B54" s="124">
        <v>1.66666666666667</v>
      </c>
      <c r="C54" s="124">
        <v>0.333333333333333</v>
      </c>
      <c r="D54" s="124">
        <v>1.0</v>
      </c>
      <c r="E54" s="124">
        <v>3.0</v>
      </c>
      <c r="G54" s="124">
        <v>2.33333333333333</v>
      </c>
      <c r="H54" s="126"/>
      <c r="I54" s="119"/>
      <c r="J54" s="126"/>
      <c r="K54" s="119"/>
      <c r="L54" s="119"/>
      <c r="M54" s="119"/>
    </row>
    <row r="55">
      <c r="A55" s="25" t="s">
        <v>5</v>
      </c>
      <c r="B55" s="124">
        <v>0.333333333333333</v>
      </c>
      <c r="C55" s="124">
        <v>0.333333333333333</v>
      </c>
      <c r="D55" s="124">
        <v>1.0</v>
      </c>
      <c r="E55" s="124">
        <v>5.0</v>
      </c>
      <c r="F55" s="124">
        <v>2.33333333333333</v>
      </c>
      <c r="G55" s="124">
        <v>0.666666666666667</v>
      </c>
      <c r="H55" s="126"/>
      <c r="I55" s="119"/>
      <c r="J55" s="126"/>
      <c r="K55" s="119"/>
      <c r="L55" s="119"/>
      <c r="M55" s="119"/>
    </row>
    <row r="56">
      <c r="A56" s="25" t="s">
        <v>82</v>
      </c>
      <c r="B56" s="124">
        <v>1.33333333333333</v>
      </c>
      <c r="C56" s="124">
        <v>0.333333333333333</v>
      </c>
      <c r="D56" s="124">
        <v>0.333333333333333</v>
      </c>
      <c r="E56" s="124">
        <v>3.0</v>
      </c>
      <c r="F56" s="124">
        <v>1.0</v>
      </c>
      <c r="G56" s="124">
        <v>3.0</v>
      </c>
      <c r="H56" s="126"/>
      <c r="I56" s="119"/>
      <c r="J56" s="126"/>
      <c r="K56" s="119"/>
      <c r="L56" s="119"/>
      <c r="M56" s="119"/>
    </row>
    <row r="57">
      <c r="A57" s="25" t="s">
        <v>7</v>
      </c>
      <c r="B57" s="124">
        <v>1.33333333333333</v>
      </c>
      <c r="D57" s="124">
        <v>1.66666666666667</v>
      </c>
      <c r="E57" s="124">
        <v>10.3333333333333</v>
      </c>
      <c r="F57" s="124">
        <v>0.333333333333333</v>
      </c>
      <c r="G57" s="124">
        <v>8.0</v>
      </c>
      <c r="H57" s="119"/>
      <c r="I57" s="119"/>
      <c r="J57" s="119"/>
      <c r="K57" s="119"/>
      <c r="L57" s="119"/>
      <c r="M57" s="119"/>
    </row>
    <row r="58">
      <c r="A58" s="25" t="s">
        <v>6</v>
      </c>
      <c r="B58" s="124">
        <v>1.66666666666667</v>
      </c>
      <c r="C58" s="124">
        <v>0.333333333333333</v>
      </c>
      <c r="D58" s="124">
        <v>0.666666666666667</v>
      </c>
      <c r="E58" s="124">
        <v>9.0</v>
      </c>
      <c r="F58" s="124">
        <v>0.666666666666667</v>
      </c>
      <c r="G58" s="124">
        <v>4.33333333333333</v>
      </c>
      <c r="H58" s="119"/>
      <c r="I58" s="119"/>
      <c r="J58" s="119"/>
      <c r="K58" s="119"/>
      <c r="L58" s="119"/>
      <c r="M58" s="119"/>
    </row>
    <row r="59">
      <c r="A59" s="25" t="s">
        <v>8</v>
      </c>
      <c r="B59" s="124">
        <v>1.0</v>
      </c>
      <c r="C59" s="124">
        <v>2.33333333333333</v>
      </c>
      <c r="D59" s="124">
        <v>2.33333333333333</v>
      </c>
      <c r="E59" s="124">
        <v>4.33333333333333</v>
      </c>
      <c r="F59" s="124">
        <v>3.0</v>
      </c>
      <c r="G59" s="124">
        <v>2.33333333333333</v>
      </c>
      <c r="H59" s="126"/>
      <c r="I59" s="119"/>
      <c r="J59" s="126"/>
      <c r="K59" s="119"/>
      <c r="L59" s="119"/>
      <c r="M59" s="119"/>
    </row>
    <row r="60">
      <c r="A60" s="25" t="s">
        <v>19</v>
      </c>
      <c r="B60" s="124">
        <v>0.666666666666667</v>
      </c>
      <c r="D60" s="124">
        <v>0.333333333333333</v>
      </c>
      <c r="E60" s="124">
        <v>1.0</v>
      </c>
      <c r="F60" s="124">
        <v>0.333333333333333</v>
      </c>
      <c r="G60" s="124">
        <v>0.666666666666667</v>
      </c>
      <c r="H60" s="126"/>
      <c r="I60" s="119"/>
      <c r="J60" s="126"/>
      <c r="K60" s="119"/>
      <c r="L60" s="119"/>
      <c r="M60" s="119"/>
    </row>
    <row r="61">
      <c r="A61" s="25" t="s">
        <v>13</v>
      </c>
      <c r="B61" s="124">
        <v>1.33333333333333</v>
      </c>
      <c r="C61" s="124">
        <v>1.33333333333333</v>
      </c>
      <c r="D61" s="124">
        <v>2.0</v>
      </c>
      <c r="E61" s="124">
        <v>3.66666666666667</v>
      </c>
      <c r="F61" s="124">
        <v>2.66666666666667</v>
      </c>
      <c r="G61" s="124">
        <v>3.33333333333333</v>
      </c>
      <c r="H61" s="126"/>
      <c r="I61" s="119"/>
      <c r="J61" s="126"/>
      <c r="K61" s="119"/>
      <c r="L61" s="119"/>
      <c r="M61" s="119"/>
    </row>
    <row r="62">
      <c r="A62" s="25" t="s">
        <v>14</v>
      </c>
      <c r="B62" s="124">
        <v>0.666666666666667</v>
      </c>
      <c r="D62" s="124">
        <v>0.333333333333333</v>
      </c>
      <c r="E62" s="124">
        <v>0.333333333333333</v>
      </c>
      <c r="F62" s="124">
        <v>0.666666666666667</v>
      </c>
      <c r="G62" s="124">
        <v>1.66666666666667</v>
      </c>
      <c r="H62" s="126"/>
      <c r="I62" s="119"/>
      <c r="J62" s="126"/>
      <c r="K62" s="119"/>
      <c r="L62" s="119"/>
      <c r="M62" s="119"/>
    </row>
    <row r="63">
      <c r="A63" s="25" t="s">
        <v>9</v>
      </c>
      <c r="B63" s="124">
        <v>3.66666666666667</v>
      </c>
      <c r="C63" s="124">
        <v>0.666666666666667</v>
      </c>
      <c r="D63" s="124">
        <v>2.33333333333333</v>
      </c>
      <c r="E63" s="124">
        <v>5.0</v>
      </c>
      <c r="F63" s="124">
        <v>2.0</v>
      </c>
      <c r="G63" s="124">
        <v>2.0</v>
      </c>
      <c r="H63" s="126"/>
      <c r="I63" s="119"/>
      <c r="J63" s="126"/>
      <c r="K63" s="119"/>
      <c r="L63" s="119"/>
      <c r="M63" s="119"/>
    </row>
    <row r="64">
      <c r="A64" s="25" t="s">
        <v>4</v>
      </c>
      <c r="B64" s="124">
        <v>3.0</v>
      </c>
      <c r="C64" s="124">
        <v>1.33333333333333</v>
      </c>
      <c r="D64" s="124">
        <v>5.33333333333333</v>
      </c>
      <c r="E64" s="124">
        <v>3.33333333333333</v>
      </c>
      <c r="F64" s="124">
        <v>2.66666666666667</v>
      </c>
      <c r="G64" s="124">
        <v>3.33333333333333</v>
      </c>
      <c r="H64" s="126"/>
      <c r="I64" s="119"/>
      <c r="J64" s="126"/>
      <c r="K64" s="119"/>
      <c r="L64" s="119"/>
      <c r="M64" s="119"/>
    </row>
    <row r="65">
      <c r="A65" s="25" t="s">
        <v>21</v>
      </c>
      <c r="B65" s="124">
        <v>0.666666666666667</v>
      </c>
      <c r="C65" s="124">
        <v>0.333333333333333</v>
      </c>
      <c r="E65" s="124">
        <v>1.33333333333333</v>
      </c>
      <c r="F65" s="124">
        <v>1.66666666666667</v>
      </c>
      <c r="G65" s="124">
        <v>1.66666666666667</v>
      </c>
      <c r="H65" s="126"/>
      <c r="I65" s="119"/>
      <c r="J65" s="126"/>
      <c r="K65" s="119"/>
      <c r="L65" s="119"/>
      <c r="M65" s="119"/>
    </row>
    <row r="66">
      <c r="A66" s="25" t="s">
        <v>16</v>
      </c>
      <c r="B66" s="124">
        <v>0.666666666666667</v>
      </c>
      <c r="C66" s="124">
        <v>0.333333333333333</v>
      </c>
      <c r="D66" s="124">
        <v>2.33333333333333</v>
      </c>
      <c r="E66" s="124">
        <v>3.33333333333333</v>
      </c>
      <c r="F66" s="124">
        <v>1.33333333333333</v>
      </c>
      <c r="G66" s="124">
        <v>0.666666666666667</v>
      </c>
      <c r="H66" s="126"/>
      <c r="I66" s="119"/>
      <c r="J66" s="126"/>
      <c r="K66" s="119"/>
      <c r="L66" s="119"/>
      <c r="M66" s="119"/>
    </row>
    <row r="67">
      <c r="A67" s="25" t="s">
        <v>3</v>
      </c>
      <c r="B67" s="124">
        <v>1.66666666666667</v>
      </c>
      <c r="C67" s="124">
        <v>0.333333333333333</v>
      </c>
      <c r="D67" s="2">
        <v>1.0</v>
      </c>
      <c r="E67" s="124">
        <v>8.33333333333333</v>
      </c>
      <c r="F67" s="124">
        <v>0.333333333333333</v>
      </c>
      <c r="G67" s="124">
        <v>7.0</v>
      </c>
      <c r="H67" s="126"/>
      <c r="I67" s="119"/>
      <c r="J67" s="126"/>
      <c r="K67" s="119"/>
      <c r="L67" s="119"/>
      <c r="M67" s="119"/>
    </row>
    <row r="68">
      <c r="F68" s="124"/>
    </row>
  </sheetData>
  <conditionalFormatting sqref="A1 A3:D3 N3:P3 A11:B11 C11:D12 N11:P12 M12 A21 A23:T23 A46:M46">
    <cfRule type="containsText" dxfId="0" priority="1" operator="containsText" text="Match found">
      <formula>NOT(ISERROR(SEARCH(("Match found"),(A1))))</formula>
    </cfRule>
  </conditionalFormatting>
  <drawing r:id="rId1"/>
</worksheet>
</file>